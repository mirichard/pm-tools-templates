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455" tabRatio="862" activeTab="13"/>
  </bookViews>
  <sheets>
    <sheet name="Overview" sheetId="16" r:id="rId1"/>
    <sheet name="Status" sheetId="1" r:id="rId2"/>
    <sheet name="Milestones" sheetId="2" r:id="rId3"/>
    <sheet name="Contacts" sheetId="7" r:id="rId4"/>
    <sheet name="RAID" sheetId="4" r:id="rId5"/>
    <sheet name="Gantt" sheetId="5" r:id="rId6"/>
    <sheet name="Product Backlog" sheetId="29" state="hidden" r:id="rId7"/>
    <sheet name="Delv Tracker" sheetId="3" r:id="rId8"/>
    <sheet name="FDS Tracker" sheetId="19" r:id="rId9"/>
    <sheet name="Test Scr. Tracker" sheetId="22" r:id="rId10"/>
    <sheet name="Price Type Tracker" sheetId="30" r:id="rId11"/>
    <sheet name="Blank Tracker" sheetId="23" r:id="rId12"/>
    <sheet name="Wksp Gantt" sheetId="26" r:id="rId13"/>
    <sheet name="Int. Matrix" sheetId="28" r:id="rId14"/>
    <sheet name="List" sheetId="31" state="hidden" r:id="rId15"/>
    <sheet name="Instructions" sheetId="15" r:id="rId16"/>
    <sheet name="Logistics" sheetId="9" state="hidden" r:id="rId17"/>
    <sheet name="Communiction" sheetId="10" state="hidden" r:id="rId18"/>
    <sheet name="CCR Summary" sheetId="12" state="hidden" r:id="rId19"/>
    <sheet name="Lessons Learned" sheetId="13" state="hidden" r:id="rId20"/>
  </sheets>
  <definedNames>
    <definedName name="__xlnm._FilterDatabase" localSheetId="6">#REF!</definedName>
    <definedName name="__xlnm._FilterDatabase">#REF!</definedName>
    <definedName name="_xlnm._FilterDatabase" localSheetId="6">#REF!</definedName>
    <definedName name="_xlnm._FilterDatabase">#REF!</definedName>
    <definedName name="_xlnm.Print_Area" localSheetId="13">'Int. Matrix'!$A$7:$V$109</definedName>
    <definedName name="Status" localSheetId="6">#REF!</definedName>
    <definedName name="Status">List!$A$1:$A$3</definedName>
    <definedName name="Tracking" localSheetId="6">#REF!</definedName>
    <definedName name="Tracking">List!$B$1:$B$3</definedName>
  </definedNames>
  <calcPr calcId="152511"/>
</workbook>
</file>

<file path=xl/calcChain.xml><?xml version="1.0" encoding="utf-8"?>
<calcChain xmlns="http://schemas.openxmlformats.org/spreadsheetml/2006/main">
  <c r="I3" i="1" l="1"/>
  <c r="I4" i="1" s="1"/>
  <c r="D3" i="1" s="1"/>
  <c r="B24" i="13" l="1"/>
  <c r="A32" i="2"/>
  <c r="A26" i="2"/>
  <c r="A17" i="2"/>
  <c r="A10" i="2"/>
  <c r="A5" i="2"/>
</calcChain>
</file>

<file path=xl/comments1.xml><?xml version="1.0" encoding="utf-8"?>
<comments xmlns="http://schemas.openxmlformats.org/spreadsheetml/2006/main">
  <authors>
    <author>Peter Rubino</author>
    <author/>
  </authors>
  <commentList>
    <comment ref="A3" authorId="0">
      <text>
        <r>
          <rPr>
            <sz val="8"/>
            <color indexed="81"/>
            <rFont val="Calibri"/>
            <family val="2"/>
            <scheme val="minor"/>
          </rPr>
          <t>Input a concise, executive level summary of the status of the project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" authorId="0">
      <text>
        <r>
          <rPr>
            <sz val="8"/>
            <color indexed="81"/>
            <rFont val="Calibri"/>
            <family val="2"/>
            <scheme val="minor"/>
          </rPr>
          <t>Ensure you fill out a gate review form, links can be found on Milestones tab</t>
        </r>
      </text>
    </comment>
    <comment ref="A5" authorId="0">
      <text>
        <r>
          <rPr>
            <sz val="8"/>
            <color indexed="81"/>
            <rFont val="Calibri"/>
            <family val="2"/>
            <scheme val="minor"/>
          </rPr>
          <t>Are project communications timely and appropriate?
Are the Business and IT teams actively involved?</t>
        </r>
      </text>
    </comment>
    <comment ref="D5" authorId="0">
      <text>
        <r>
          <rPr>
            <b/>
            <sz val="8"/>
            <color indexed="81"/>
            <rFont val="Calibri"/>
            <family val="2"/>
            <scheme val="minor"/>
          </rPr>
          <t>Red</t>
        </r>
        <r>
          <rPr>
            <sz val="8"/>
            <color indexed="81"/>
            <rFont val="Calibri"/>
            <family val="2"/>
            <scheme val="minor"/>
          </rPr>
          <t xml:space="preserve"> - Off track; Immediate corrective action required (corrective action plan is off track)
</t>
        </r>
        <r>
          <rPr>
            <b/>
            <sz val="8"/>
            <color indexed="81"/>
            <rFont val="Calibri"/>
            <family val="2"/>
            <scheme val="minor"/>
          </rPr>
          <t>Yellow</t>
        </r>
        <r>
          <rPr>
            <sz val="8"/>
            <color indexed="81"/>
            <rFont val="Calibri"/>
            <family val="2"/>
            <scheme val="minor"/>
          </rPr>
          <t xml:space="preserve"> - Heading off track; corrective action needed to get back on track
</t>
        </r>
        <r>
          <rPr>
            <b/>
            <sz val="8"/>
            <color indexed="81"/>
            <rFont val="Calibri"/>
            <family val="2"/>
            <scheme val="minor"/>
          </rPr>
          <t>Green</t>
        </r>
        <r>
          <rPr>
            <sz val="8"/>
            <color indexed="81"/>
            <rFont val="Calibri"/>
            <family val="2"/>
            <scheme val="minor"/>
          </rPr>
          <t xml:space="preserve"> - On Track; stay the course (corrective action plan agreed and on track)</t>
        </r>
      </text>
    </comment>
    <comment ref="A6" authorId="0">
      <text>
        <r>
          <rPr>
            <sz val="8"/>
            <color indexed="81"/>
            <rFont val="Calibri"/>
            <family val="2"/>
            <scheme val="minor"/>
          </rPr>
          <t>Are business benefits for project clearly understood?
Are benefits on track to be realized?</t>
        </r>
      </text>
    </comment>
    <comment ref="D6" authorId="0">
      <text>
        <r>
          <rPr>
            <b/>
            <sz val="8"/>
            <color indexed="81"/>
            <rFont val="Calibri"/>
            <family val="2"/>
            <scheme val="minor"/>
          </rPr>
          <t>Red</t>
        </r>
        <r>
          <rPr>
            <sz val="8"/>
            <color indexed="81"/>
            <rFont val="Calibri"/>
            <family val="2"/>
            <scheme val="minor"/>
          </rPr>
          <t xml:space="preserve"> - Off track; Immediate corrective action required (corrective action plan is off track)
</t>
        </r>
        <r>
          <rPr>
            <b/>
            <sz val="8"/>
            <color indexed="81"/>
            <rFont val="Calibri"/>
            <family val="2"/>
            <scheme val="minor"/>
          </rPr>
          <t>Yellow</t>
        </r>
        <r>
          <rPr>
            <sz val="8"/>
            <color indexed="81"/>
            <rFont val="Calibri"/>
            <family val="2"/>
            <scheme val="minor"/>
          </rPr>
          <t xml:space="preserve"> - Heading off track; corrective action needed to get back on track
</t>
        </r>
        <r>
          <rPr>
            <b/>
            <sz val="8"/>
            <color indexed="81"/>
            <rFont val="Calibri"/>
            <family val="2"/>
            <scheme val="minor"/>
          </rPr>
          <t>Green</t>
        </r>
        <r>
          <rPr>
            <sz val="8"/>
            <color indexed="81"/>
            <rFont val="Calibri"/>
            <family val="2"/>
            <scheme val="minor"/>
          </rPr>
          <t xml:space="preserve"> - On Track; stay the course (corrective action plan agreed and on track)</t>
        </r>
      </text>
    </comment>
    <comment ref="A7" authorId="0">
      <text>
        <r>
          <rPr>
            <sz val="8"/>
            <color indexed="81"/>
            <rFont val="Calibri"/>
            <family val="2"/>
            <scheme val="minor"/>
          </rPr>
          <t>Is the project schedule clear and understood by team?
Is the project schedule on track and realistic?</t>
        </r>
      </text>
    </comment>
    <comment ref="D7" authorId="1">
      <text>
        <r>
          <rPr>
            <b/>
            <sz val="8"/>
            <color indexed="81"/>
            <rFont val="Calibri"/>
            <family val="2"/>
            <scheme val="minor"/>
          </rPr>
          <t>Red</t>
        </r>
        <r>
          <rPr>
            <sz val="8"/>
            <color indexed="81"/>
            <rFont val="Calibri"/>
            <family val="2"/>
            <scheme val="minor"/>
          </rPr>
          <t xml:space="preserve"> - Off track; Immediate corrective action required (corrective action plan is off track)
</t>
        </r>
        <r>
          <rPr>
            <b/>
            <sz val="8"/>
            <color indexed="81"/>
            <rFont val="Calibri"/>
            <family val="2"/>
            <scheme val="minor"/>
          </rPr>
          <t>Yellow</t>
        </r>
        <r>
          <rPr>
            <sz val="8"/>
            <color indexed="81"/>
            <rFont val="Calibri"/>
            <family val="2"/>
            <scheme val="minor"/>
          </rPr>
          <t xml:space="preserve"> - Heading off track; corrective action needed to get back on track
</t>
        </r>
        <r>
          <rPr>
            <b/>
            <sz val="8"/>
            <color indexed="81"/>
            <rFont val="Calibri"/>
            <family val="2"/>
            <scheme val="minor"/>
          </rPr>
          <t>Green</t>
        </r>
        <r>
          <rPr>
            <sz val="8"/>
            <color indexed="81"/>
            <rFont val="Calibri"/>
            <family val="2"/>
            <scheme val="minor"/>
          </rPr>
          <t xml:space="preserve"> - On Track; stay the course (corrective action plan agreed and on track)</t>
        </r>
      </text>
    </comment>
    <comment ref="A8" authorId="0">
      <text>
        <r>
          <rPr>
            <sz val="8"/>
            <color indexed="81"/>
            <rFont val="Calibri"/>
            <family val="2"/>
            <scheme val="minor"/>
          </rPr>
          <t>Is the right size steam in place to achieve project objectives?
Are the right skills available to deliver project?
Is team morale high?</t>
        </r>
      </text>
    </comment>
    <comment ref="D8" authorId="1">
      <text>
        <r>
          <rPr>
            <b/>
            <sz val="8"/>
            <color indexed="81"/>
            <rFont val="Calibri"/>
            <family val="2"/>
            <scheme val="minor"/>
          </rPr>
          <t>Red</t>
        </r>
        <r>
          <rPr>
            <sz val="8"/>
            <color indexed="81"/>
            <rFont val="Calibri"/>
            <family val="2"/>
            <scheme val="minor"/>
          </rPr>
          <t xml:space="preserve"> - Off track; Immediate corrective action required (corrective action plan is off track)
</t>
        </r>
        <r>
          <rPr>
            <b/>
            <sz val="8"/>
            <color indexed="81"/>
            <rFont val="Calibri"/>
            <family val="2"/>
            <scheme val="minor"/>
          </rPr>
          <t>Yellow</t>
        </r>
        <r>
          <rPr>
            <sz val="8"/>
            <color indexed="81"/>
            <rFont val="Calibri"/>
            <family val="2"/>
            <scheme val="minor"/>
          </rPr>
          <t xml:space="preserve"> - Heading off track; corrective action needed to get back on track
</t>
        </r>
        <r>
          <rPr>
            <b/>
            <sz val="8"/>
            <color indexed="81"/>
            <rFont val="Calibri"/>
            <family val="2"/>
            <scheme val="minor"/>
          </rPr>
          <t>Green</t>
        </r>
        <r>
          <rPr>
            <sz val="8"/>
            <color indexed="81"/>
            <rFont val="Calibri"/>
            <family val="2"/>
            <scheme val="minor"/>
          </rPr>
          <t xml:space="preserve"> - On Track; stay the course (corrective action plan agreed and on track</t>
        </r>
      </text>
    </comment>
    <comment ref="A9" authorId="0">
      <text>
        <r>
          <rPr>
            <sz val="8"/>
            <color indexed="81"/>
            <rFont val="Calibri"/>
            <family val="2"/>
            <scheme val="minor"/>
          </rPr>
          <t>Are change control processes well defined and effective?
Is scope clear and known to project teams?
Are any/all recent changes to scope going through change control process?</t>
        </r>
      </text>
    </comment>
    <comment ref="D9" authorId="1">
      <text>
        <r>
          <rPr>
            <b/>
            <sz val="8"/>
            <color indexed="81"/>
            <rFont val="Calibri"/>
            <family val="2"/>
            <scheme val="minor"/>
          </rPr>
          <t>Red</t>
        </r>
        <r>
          <rPr>
            <sz val="8"/>
            <color indexed="81"/>
            <rFont val="Calibri"/>
            <family val="2"/>
            <scheme val="minor"/>
          </rPr>
          <t xml:space="preserve"> - Off track; Immediate corrective action required (corrective action plan is off track)
</t>
        </r>
        <r>
          <rPr>
            <b/>
            <sz val="8"/>
            <color indexed="81"/>
            <rFont val="Calibri"/>
            <family val="2"/>
            <scheme val="minor"/>
          </rPr>
          <t>Yellow</t>
        </r>
        <r>
          <rPr>
            <sz val="8"/>
            <color indexed="81"/>
            <rFont val="Calibri"/>
            <family val="2"/>
            <scheme val="minor"/>
          </rPr>
          <t xml:space="preserve"> - Heading off track; corrective action needed to get back on track
</t>
        </r>
        <r>
          <rPr>
            <b/>
            <sz val="8"/>
            <color indexed="81"/>
            <rFont val="Calibri"/>
            <family val="2"/>
            <scheme val="minor"/>
          </rPr>
          <t>Green</t>
        </r>
        <r>
          <rPr>
            <sz val="8"/>
            <color indexed="81"/>
            <rFont val="Calibri"/>
            <family val="2"/>
            <scheme val="minor"/>
          </rPr>
          <t xml:space="preserve"> - On Track; stay the course (corrective action plan agreed and on track)</t>
        </r>
      </text>
    </comment>
    <comment ref="A10" authorId="0">
      <text>
        <r>
          <rPr>
            <sz val="8"/>
            <color indexed="81"/>
            <rFont val="Calibri"/>
            <family val="2"/>
            <scheme val="minor"/>
          </rPr>
          <t>Are risks properly evaluated and mitigation plans established?
Are issue &amp; risk logs are actively managed?</t>
        </r>
      </text>
    </comment>
    <comment ref="D10" authorId="1">
      <text>
        <r>
          <rPr>
            <b/>
            <sz val="8"/>
            <color indexed="81"/>
            <rFont val="Calibri"/>
            <family val="2"/>
            <scheme val="minor"/>
          </rPr>
          <t>Red</t>
        </r>
        <r>
          <rPr>
            <sz val="8"/>
            <color indexed="81"/>
            <rFont val="Calibri"/>
            <family val="2"/>
            <scheme val="minor"/>
          </rPr>
          <t xml:space="preserve"> - Off track; Immediate corrective action required (corrective action plan is off track)
</t>
        </r>
        <r>
          <rPr>
            <b/>
            <sz val="8"/>
            <color indexed="81"/>
            <rFont val="Calibri"/>
            <family val="2"/>
            <scheme val="minor"/>
          </rPr>
          <t>Yellow</t>
        </r>
        <r>
          <rPr>
            <sz val="8"/>
            <color indexed="81"/>
            <rFont val="Calibri"/>
            <family val="2"/>
            <scheme val="minor"/>
          </rPr>
          <t xml:space="preserve"> - Heading off track; corrective action needed to get back on track
</t>
        </r>
        <r>
          <rPr>
            <b/>
            <sz val="8"/>
            <color indexed="81"/>
            <rFont val="Calibri"/>
            <family val="2"/>
            <scheme val="minor"/>
          </rPr>
          <t>Green</t>
        </r>
        <r>
          <rPr>
            <sz val="8"/>
            <color indexed="81"/>
            <rFont val="Calibri"/>
            <family val="2"/>
            <scheme val="minor"/>
          </rPr>
          <t xml:space="preserve"> - On Track; stay the course (corrective action plan agreed and on track)</t>
        </r>
      </text>
    </comment>
    <comment ref="A11" authorId="0">
      <text>
        <r>
          <rPr>
            <sz val="8"/>
            <color indexed="81"/>
            <rFont val="Calibri"/>
            <family val="2"/>
            <scheme val="minor"/>
          </rPr>
          <t xml:space="preserve">- Will the project  help the delivery organization’s reputation?
- Is the project  financiall healthy and collections are current?
- Will the project help team members’ careers?
- Will the project contribute to the organization’s knowledge and lessons learned?
</t>
        </r>
      </text>
    </comment>
    <comment ref="D11" authorId="1">
      <text>
        <r>
          <rPr>
            <b/>
            <sz val="8"/>
            <color indexed="81"/>
            <rFont val="Calibri"/>
            <family val="2"/>
            <scheme val="minor"/>
          </rPr>
          <t>Red</t>
        </r>
        <r>
          <rPr>
            <sz val="8"/>
            <color indexed="81"/>
            <rFont val="Calibri"/>
            <family val="2"/>
            <scheme val="minor"/>
          </rPr>
          <t xml:space="preserve"> - Off track; Immediate corrective action required (corrective action plan is off track)
</t>
        </r>
        <r>
          <rPr>
            <b/>
            <sz val="8"/>
            <color indexed="81"/>
            <rFont val="Calibri"/>
            <family val="2"/>
            <scheme val="minor"/>
          </rPr>
          <t>Yellow</t>
        </r>
        <r>
          <rPr>
            <sz val="8"/>
            <color indexed="81"/>
            <rFont val="Calibri"/>
            <family val="2"/>
            <scheme val="minor"/>
          </rPr>
          <t xml:space="preserve"> - Heading off track; corrective action needed to get back on track
</t>
        </r>
        <r>
          <rPr>
            <b/>
            <sz val="8"/>
            <color indexed="81"/>
            <rFont val="Calibri"/>
            <family val="2"/>
            <scheme val="minor"/>
          </rPr>
          <t>Green</t>
        </r>
        <r>
          <rPr>
            <sz val="8"/>
            <color indexed="81"/>
            <rFont val="Calibri"/>
            <family val="2"/>
            <scheme val="minor"/>
          </rPr>
          <t xml:space="preserve"> - On Track; stay the course (corrective action plan agreed and on track)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C9" authorId="0">
      <text>
        <r>
          <rPr>
            <b/>
            <sz val="9"/>
            <color rgb="FF000000"/>
            <rFont val="Tahoma"/>
            <family val="2"/>
            <charset val="1"/>
          </rPr>
          <t xml:space="preserve">Bill:
</t>
        </r>
        <r>
          <rPr>
            <sz val="9"/>
            <color rgb="FF000000"/>
            <rFont val="Tahoma"/>
            <family val="2"/>
            <charset val="1"/>
          </rPr>
          <t>With Model N Support</t>
        </r>
      </text>
    </comment>
  </commentList>
</comments>
</file>

<file path=xl/sharedStrings.xml><?xml version="1.0" encoding="utf-8"?>
<sst xmlns="http://schemas.openxmlformats.org/spreadsheetml/2006/main" count="1176" uniqueCount="762">
  <si>
    <t>Project Information</t>
  </si>
  <si>
    <t>Model N Project Manager</t>
  </si>
  <si>
    <t>Project Methodology</t>
  </si>
  <si>
    <t>Planned Go-Live Date</t>
  </si>
  <si>
    <t>Current Phase</t>
  </si>
  <si>
    <t>Model N Version</t>
  </si>
  <si>
    <t>Application Scope (Modules)</t>
  </si>
  <si>
    <t>Overall Project Status</t>
  </si>
  <si>
    <t>Stakeholders</t>
  </si>
  <si>
    <t>Business Benefits</t>
  </si>
  <si>
    <t>Work &amp; Schedule</t>
  </si>
  <si>
    <t>Team</t>
  </si>
  <si>
    <t>Scope</t>
  </si>
  <si>
    <t>Risks</t>
  </si>
  <si>
    <t>Budget &amp; Delivery Org Benefits</t>
  </si>
  <si>
    <t>Milestones</t>
  </si>
  <si>
    <t>Milestones</t>
  </si>
  <si>
    <t>Original Due Date</t>
  </si>
  <si>
    <t>Current Planned Due Date</t>
  </si>
  <si>
    <t>Owner</t>
  </si>
  <si>
    <t>% Complete</t>
  </si>
  <si>
    <t>Status</t>
  </si>
  <si>
    <t>Comments</t>
  </si>
  <si>
    <t>Project Handover</t>
  </si>
  <si>
    <t>Project Kickoff</t>
  </si>
  <si>
    <t>Sample Data Collected</t>
  </si>
  <si>
    <t>Workshops Complete</t>
  </si>
  <si>
    <t>Use Cases/FDS Complete</t>
  </si>
  <si>
    <t>Build and Configure System</t>
  </si>
  <si>
    <t>Test Scripts/Plan Complete</t>
  </si>
  <si>
    <t>QA &amp; Perf Env Setup</t>
  </si>
  <si>
    <t>Dry Run Complete</t>
  </si>
  <si>
    <t>SIT 1</t>
  </si>
  <si>
    <t>SIT 2</t>
  </si>
  <si>
    <t>SIT 3</t>
  </si>
  <si>
    <t>Performance</t>
  </si>
  <si>
    <t>UAT</t>
  </si>
  <si>
    <t>End User Training Complete</t>
  </si>
  <si>
    <t>Go-Live</t>
  </si>
  <si>
    <t>Transition to Support Complete</t>
  </si>
  <si>
    <t>Hyper Care Complete</t>
  </si>
  <si>
    <t>Project Debrief Complete</t>
  </si>
  <si>
    <t>Phase</t>
  </si>
  <si>
    <t>Org Owner</t>
  </si>
  <si>
    <t>Description</t>
  </si>
  <si>
    <t>Assumptions</t>
  </si>
  <si>
    <t>Dependencies</t>
  </si>
  <si>
    <t>Status</t>
  </si>
  <si>
    <t>% Complete</t>
  </si>
  <si>
    <t>All Phases</t>
  </si>
  <si>
    <t>Model N</t>
  </si>
  <si>
    <t>Management</t>
  </si>
  <si>
    <t>Project Plan</t>
  </si>
  <si>
    <t>This is updated throughout all phases of project. Development/Refinement of project schedule for all phases. Will contain detailed tasks for next phase of project, based on learning of this phase</t>
  </si>
  <si>
    <t>All Phases</t>
  </si>
  <si>
    <t>Model N</t>
  </si>
  <si>
    <t>Management</t>
  </si>
  <si>
    <t>Weekly Status Reports</t>
  </si>
  <si>
    <t>This is updated throughout all phases of project. Status report includes activities for each team member, planned activities for following week, and open issues/risks</t>
  </si>
  <si>
    <t>Inception</t>
  </si>
  <si>
    <t>&lt;Customer&gt;</t>
  </si>
  <si>
    <t>Organization</t>
  </si>
  <si>
    <t>Project Charter</t>
  </si>
  <si>
    <t>A document that provides roles and responsibilities, outlines the project objectives, identifies the main stakeholders, and defines the authority of the project manager</t>
  </si>
  <si>
    <t>Inception</t>
  </si>
  <si>
    <t>&lt;Customer&gt;</t>
  </si>
  <si>
    <t>Functional</t>
  </si>
  <si>
    <t>System Requirements Specification</t>
  </si>
  <si>
    <t>Documentation of business requirements and known functional gaps, to be used as input into the workshops</t>
  </si>
  <si>
    <t>Inception</t>
  </si>
  <si>
    <t>&lt;Customer&gt;</t>
  </si>
  <si>
    <t>Technical</t>
  </si>
  <si>
    <t>System Context Diagram</t>
  </si>
  <si>
    <t>A high level diagram of Model N that defines the boundary between Model N and its environment, showing the entities that interact with it.</t>
  </si>
  <si>
    <t>Inception</t>
  </si>
  <si>
    <t>&lt;Customer&gt;</t>
  </si>
  <si>
    <t>Data</t>
  </si>
  <si>
    <t>Representative Data Sets</t>
  </si>
  <si>
    <t>Data set of contracts, policies and master data that provide a compressive view of in scope processes</t>
  </si>
  <si>
    <t>Inception</t>
  </si>
  <si>
    <t>&lt;Customer&gt;</t>
  </si>
  <si>
    <t>Organization</t>
  </si>
  <si>
    <t>Stakeholder Management Matrix</t>
  </si>
  <si>
    <t>Tool used to identify the individuals or groups that are likely to be affected by the Model N solution, and sorting them according to their impact solution will have on them</t>
  </si>
  <si>
    <t>Elaboration</t>
  </si>
  <si>
    <t>Model N</t>
  </si>
  <si>
    <t>Functional</t>
  </si>
  <si>
    <t>Functional Design Specifications</t>
  </si>
  <si>
    <t>Functional design specifications that outline the system design</t>
  </si>
  <si>
    <t>Elaboration</t>
  </si>
  <si>
    <t>Model N</t>
  </si>
  <si>
    <t>Technical</t>
  </si>
  <si>
    <t>Preliminary Hardware Sizing</t>
  </si>
  <si>
    <t>Preliminary Hardware sizing specification to be used for procuring development, QA, Performance &amp; production environments (depending on lead time of production equipment and project duration, this can be delayed, Model N recommends delaying until Verification if lead time allows)</t>
  </si>
  <si>
    <t>Elaboration</t>
  </si>
  <si>
    <t>&lt;Customer&gt;</t>
  </si>
  <si>
    <t>Organization</t>
  </si>
  <si>
    <t>Organizational Change Management Plan</t>
  </si>
  <si>
    <t>Defines potential changes in process, technology, and organization. And describes approach for aligning process and organizational changes with new Model N- enabled solution architecture. Lastly, it identifies appropriate training needs for the project</t>
  </si>
  <si>
    <t>Elaboration</t>
  </si>
  <si>
    <t>&lt;Customer&gt;</t>
  </si>
  <si>
    <t>Management</t>
  </si>
  <si>
    <t>Cut-over plan</t>
  </si>
  <si>
    <t>High-level cutover plan that describes how old systems will be retired as Model N is turned on. Includes deployment dates per country, deployment activities, and support plan during Hypercare</t>
  </si>
  <si>
    <t>Elaboration</t>
  </si>
  <si>
    <t>&lt;Customer&gt;</t>
  </si>
  <si>
    <t>Data</t>
  </si>
  <si>
    <t>Data Interface &amp; Conversion Design</t>
  </si>
  <si>
    <t>Development of Data Conversion and Integration Plan identifying sequence of data conversion and method of load, and identifying plan for ongoing interfaces. Outlines plan for mock and final data conversions.</t>
  </si>
  <si>
    <t>Elaboration</t>
  </si>
  <si>
    <t>&lt;Customer&gt;</t>
  </si>
  <si>
    <t>Management</t>
  </si>
  <si>
    <t>Testing Strategy</t>
  </si>
  <si>
    <t>Documentation of testing approach and criteria for acceptance. Documentation of validated testing requirements, if necessary. And documentation of User Acceptance Testing strategy</t>
  </si>
  <si>
    <t>Elaboration</t>
  </si>
  <si>
    <t>&lt;Customer&gt;</t>
  </si>
  <si>
    <t>Technical</t>
  </si>
  <si>
    <t>Development Environment Setup</t>
  </si>
  <si>
    <t>Setup and support environments required for project development activities. Setup and support covers the installation of servers, 3rd party software, database, and deployment of the Model N build. It does not cover the configuration of the Model N software.</t>
  </si>
  <si>
    <t>Elaboration</t>
  </si>
  <si>
    <t>&lt;Customer&gt;</t>
  </si>
  <si>
    <t>Data</t>
  </si>
  <si>
    <t>Full Data Set</t>
  </si>
  <si>
    <t>Provide full breadth dataset (full coverage of all master data, transaction data and contracts)</t>
  </si>
  <si>
    <t>Construction</t>
  </si>
  <si>
    <t>&lt;Customer&gt;</t>
  </si>
  <si>
    <t>Functional</t>
  </si>
  <si>
    <t>System, Integration, Performance and UAT Test Plans</t>
  </si>
  <si>
    <t>Detailed test plan outlining dependencies, expected results, execution owners and priority for each test script</t>
  </si>
  <si>
    <t>Construction</t>
  </si>
  <si>
    <t>&lt;Customer&gt;</t>
  </si>
  <si>
    <t>Data</t>
  </si>
  <si>
    <t>Conversion Summary Report</t>
  </si>
  <si>
    <t>Report summarizing the mock conversions, including detailed load timings</t>
  </si>
  <si>
    <t>Construction</t>
  </si>
  <si>
    <t>Model N</t>
  </si>
  <si>
    <t>Technical</t>
  </si>
  <si>
    <t>Model N Application Builds</t>
  </si>
  <si>
    <t>Completion of configuration and unit testing of Common functional configurations and dataflow. Model N will provide builds throughout this phase (and verification as necessary) in support of rapid iterative development and testing approach.</t>
  </si>
  <si>
    <t>Construction</t>
  </si>
  <si>
    <t>&lt;Customer&gt;</t>
  </si>
  <si>
    <t>Technical</t>
  </si>
  <si>
    <t>Legacy System Data and Interface Programs</t>
  </si>
  <si>
    <t>Completion of coding and unit testing of source data extract programs and data transport programs</t>
  </si>
  <si>
    <t>Construction</t>
  </si>
  <si>
    <t>&lt;Customer&gt;</t>
  </si>
  <si>
    <t>Functional</t>
  </si>
  <si>
    <t>SOP Development</t>
  </si>
  <si>
    <t>Development of an SOP for each function/process and any manual processes that are added or changed due to the Model N implementation.</t>
  </si>
  <si>
    <t>Construction</t>
  </si>
  <si>
    <t>&lt;Customer&gt;</t>
  </si>
  <si>
    <t>Technical</t>
  </si>
  <si>
    <t>Testing, Data Migration, and Performance Environments</t>
  </si>
  <si>
    <t>Setup and support multiple environments required for project activities. Setup and support covers the installation of servers, 3rd party software, database, and deployment of the Model N build. It does not cover the configuration of the Model N software.</t>
  </si>
  <si>
    <t>Construction</t>
  </si>
  <si>
    <t>Model N</t>
  </si>
  <si>
    <t>Management</t>
  </si>
  <si>
    <t>Support Plan</t>
  </si>
  <si>
    <t>Detailed support plan for hyper-care and on-going support, including help desk and support for any customizations required</t>
  </si>
  <si>
    <t>Construction</t>
  </si>
  <si>
    <t>&lt;Customer&gt;</t>
  </si>
  <si>
    <t>Functional</t>
  </si>
  <si>
    <t>Test scripts</t>
  </si>
  <si>
    <t>Scripts will provide detailed steps required to test the requirements outlined in inception in Model N and external systems</t>
  </si>
  <si>
    <t>Verification</t>
  </si>
  <si>
    <t>&lt;Customer&gt;</t>
  </si>
  <si>
    <t>Functional</t>
  </si>
  <si>
    <t>Test Execution Summary Reports</t>
  </si>
  <si>
    <t>Results of Execution of all testing</t>
  </si>
  <si>
    <t>Verification</t>
  </si>
  <si>
    <t>&lt;Customer&gt;</t>
  </si>
  <si>
    <t>Organization</t>
  </si>
  <si>
    <t>End User Training Plan and Materials</t>
  </si>
  <si>
    <t>Finalize End User training materials, including finalization of all SOPs</t>
  </si>
  <si>
    <t>Verification</t>
  </si>
  <si>
    <t>&lt;Customer&gt;</t>
  </si>
  <si>
    <t>Management</t>
  </si>
  <si>
    <t>Finalize System Cut-over Plan</t>
  </si>
  <si>
    <t>Refined and more detailed System Cut-over Plan outlining how existing systems will be retired and Model N will be turned “on”, including detailed steps and ownership of each step.</t>
  </si>
  <si>
    <t>Transition</t>
  </si>
  <si>
    <t>Model N</t>
  </si>
  <si>
    <t>Organization</t>
  </si>
  <si>
    <t>Knowledge Transfer Plan</t>
  </si>
  <si>
    <t>Complete knowledge transfer for business users, support staff, and trainers. Items and knowledge to be transferred will be identified and managed like a project plan with due dates and people assignments</t>
  </si>
  <si>
    <t>Transition</t>
  </si>
  <si>
    <t>&lt;Customer&gt;</t>
  </si>
  <si>
    <t>Technical</t>
  </si>
  <si>
    <t>Final Data Migration</t>
  </si>
  <si>
    <t>Final Data Conversion Summary Report</t>
  </si>
  <si>
    <t>Transition</t>
  </si>
  <si>
    <t>&lt;Customer&gt;</t>
  </si>
  <si>
    <t>Technical</t>
  </si>
  <si>
    <t>Model N Deployment to Production</t>
  </si>
  <si>
    <t>Executed System Cut-over Plan including the migration of the database, code, and configurations to production. Verification of system for readiness</t>
  </si>
  <si>
    <t>Transition</t>
  </si>
  <si>
    <t>Model N</t>
  </si>
  <si>
    <t>Functional</t>
  </si>
  <si>
    <t>Provide Hyper-Care support</t>
  </si>
  <si>
    <t>Provide hyper-care support to users of system. At conclusion of period, transition solution to Model N customer support, including transition to support checklist</t>
  </si>
  <si>
    <t>Type</t>
  </si>
  <si>
    <t>Description</t>
  </si>
  <si>
    <t>Date Identified</t>
  </si>
  <si>
    <t>Current Status</t>
  </si>
  <si>
    <t>Priority</t>
  </si>
  <si>
    <t>Due Date</t>
  </si>
  <si>
    <t>Complete Date</t>
  </si>
  <si>
    <t>Mitigation Plan / Next Steps</t>
  </si>
  <si>
    <t>Owner</t>
  </si>
  <si>
    <t>Gantt Chart</t>
  </si>
  <si>
    <t>Build Plan</t>
  </si>
  <si>
    <t>Inception</t>
  </si>
  <si>
    <t>Initiate Program Strategy</t>
  </si>
  <si>
    <t>Create Program Vision</t>
  </si>
  <si>
    <t>Gather Sample Data</t>
  </si>
  <si>
    <t>Elaboration</t>
  </si>
  <si>
    <t>Confirm Solution Design</t>
  </si>
  <si>
    <t>Confirm Technical Design</t>
  </si>
  <si>
    <t>Load &amp; Assess Full Data</t>
  </si>
  <si>
    <t>Train Project Team</t>
  </si>
  <si>
    <t>Construction</t>
  </si>
  <si>
    <t>Build &amp; Dry Run Solution</t>
  </si>
  <si>
    <t>Conduct Mock Conversion</t>
  </si>
  <si>
    <t>Prepare for Testing</t>
  </si>
  <si>
    <t>Verification</t>
  </si>
  <si>
    <t>SIT 1</t>
  </si>
  <si>
    <t>SIT 2</t>
  </si>
  <si>
    <t>SIT 3</t>
  </si>
  <si>
    <t>Performance Testing</t>
  </si>
  <si>
    <t>User Acceptance Testing</t>
  </si>
  <si>
    <t>Transition</t>
  </si>
  <si>
    <t>Train End Users</t>
  </si>
  <si>
    <t>System Go-Live</t>
  </si>
  <si>
    <t>Execute Hyper-care</t>
  </si>
  <si>
    <t>Customer / MODEL N</t>
  </si>
  <si>
    <t>First Name</t>
  </si>
  <si>
    <t>Last Name</t>
  </si>
  <si>
    <t>Work #</t>
  </si>
  <si>
    <t>Mobile #</t>
  </si>
  <si>
    <t>Email</t>
  </si>
  <si>
    <t>Project Sponsor</t>
  </si>
  <si>
    <t>Customer</t>
  </si>
  <si>
    <t>Project Manager (SPOC)</t>
  </si>
  <si>
    <t>Customer</t>
  </si>
  <si>
    <t>Business owner</t>
  </si>
  <si>
    <t>Customer</t>
  </si>
  <si>
    <t>Business SME(s)</t>
  </si>
  <si>
    <t>Customer</t>
  </si>
  <si>
    <t>ERP System Team</t>
  </si>
  <si>
    <t>Customer</t>
  </si>
  <si>
    <t>Build and Release Engineer</t>
  </si>
  <si>
    <t>Customer</t>
  </si>
  <si>
    <t>Integration / Conversion Technical Lead</t>
  </si>
  <si>
    <t>Customer</t>
  </si>
  <si>
    <t>Data Migration/ Conversion Lead</t>
  </si>
  <si>
    <t>Customer</t>
  </si>
  <si>
    <t>Integration / Conversion Developers</t>
  </si>
  <si>
    <t>Customer</t>
  </si>
  <si>
    <t>Organizational Change Lead</t>
  </si>
  <si>
    <t>Customer</t>
  </si>
  <si>
    <t>Training Lead</t>
  </si>
  <si>
    <t>Customer</t>
  </si>
  <si>
    <t>Testing Lead</t>
  </si>
  <si>
    <t>Customer</t>
  </si>
  <si>
    <t>Testers</t>
  </si>
  <si>
    <t>Customer</t>
  </si>
  <si>
    <t>Project Sponsor / Managing Director</t>
  </si>
  <si>
    <t>MODEL N</t>
  </si>
  <si>
    <t>Project Manager</t>
  </si>
  <si>
    <t>MODEL N</t>
  </si>
  <si>
    <t>Business Analyst (s)</t>
  </si>
  <si>
    <t>MODEL N</t>
  </si>
  <si>
    <t>Solution Architect</t>
  </si>
  <si>
    <t>MODEL N</t>
  </si>
  <si>
    <t>Technical Lead / Architect</t>
  </si>
  <si>
    <t>MODEL N</t>
  </si>
  <si>
    <t>Application Developer</t>
  </si>
  <si>
    <t>MODEL N</t>
  </si>
  <si>
    <t>Dataflow Developer</t>
  </si>
  <si>
    <t>MODEL N</t>
  </si>
  <si>
    <t>Report Developer</t>
  </si>
  <si>
    <t>MODEL N</t>
  </si>
  <si>
    <t>Deployment Engineer</t>
  </si>
  <si>
    <t>MODEL N</t>
  </si>
  <si>
    <t>COE Quality Lead</t>
  </si>
  <si>
    <t>MODEL N</t>
  </si>
  <si>
    <t>STATUS</t>
  </si>
  <si>
    <t>WORKSTREAM</t>
  </si>
  <si>
    <t>MEETING TOPIC / INTERFACE</t>
  </si>
  <si>
    <t>MEETING FORMAT</t>
  </si>
  <si>
    <t>MEETING LOCATION</t>
  </si>
  <si>
    <t>START DATE</t>
  </si>
  <si>
    <t>FINISH DATE</t>
  </si>
  <si>
    <t>DURATION</t>
  </si>
  <si>
    <t>START TIME</t>
  </si>
  <si>
    <t>FINISH TIME</t>
  </si>
  <si>
    <t>CUSTOMER ATTENDEES</t>
  </si>
  <si>
    <t>MN ATTENDEES</t>
  </si>
  <si>
    <t>Complete</t>
  </si>
  <si>
    <t>Functional</t>
  </si>
  <si>
    <t>Project Kick-Off Meeting</t>
  </si>
  <si>
    <t>Face-to-Face &amp; WebEx</t>
  </si>
  <si>
    <t>BSC - MA</t>
  </si>
  <si>
    <t>2 hrs</t>
  </si>
  <si>
    <t>John Adam, Sam Adams</t>
  </si>
  <si>
    <t>Sally Smith, Tim Adams (Remote)</t>
  </si>
  <si>
    <t>MEETING</t>
  </si>
  <si>
    <t>PURPOSE</t>
  </si>
  <si>
    <t>WHEN</t>
  </si>
  <si>
    <t>HOW</t>
  </si>
  <si>
    <t>TIME</t>
  </si>
  <si>
    <t>DURATION</t>
  </si>
  <si>
    <t>ATTENDEES - CUSTOMER</t>
  </si>
  <si>
    <t>ATTENDEES - MODEL N</t>
  </si>
  <si>
    <t>INPUT</t>
  </si>
  <si>
    <t>OUTPUT (Model N)</t>
  </si>
  <si>
    <t>MODEL N - INTERNAL WEEKLY STATUS</t>
  </si>
  <si>
    <t>Weekly review of project schedule, deliverables status, project risks/issues and action items as input into BSC meeting</t>
  </si>
  <si>
    <t>Tuesdays</t>
  </si>
  <si>
    <t>WEBEX / CONFERENCE CALL</t>
  </si>
  <si>
    <t>9:00 AM EST</t>
  </si>
  <si>
    <t>1 hour</t>
  </si>
  <si>
    <t>N/A</t>
  </si>
  <si>
    <t>John Smith, Todd Jones, Sally Sams</t>
  </si>
  <si>
    <t>Project Status, Deliverable Tracker</t>
  </si>
  <si>
    <t>Updated Project Status, Updated Deliverable Tracker</t>
  </si>
  <si>
    <t>CCR ID</t>
  </si>
  <si>
    <t>Status</t>
  </si>
  <si>
    <t>Description / Impact</t>
  </si>
  <si>
    <t>Total Effort (Hrs)</t>
  </si>
  <si>
    <t>Est. Cost</t>
  </si>
  <si>
    <t>Approval Date</t>
  </si>
  <si>
    <t>ID #</t>
  </si>
  <si>
    <t>Date Rasied</t>
  </si>
  <si>
    <t>Phase</t>
  </si>
  <si>
    <t>Product Area</t>
  </si>
  <si>
    <t>Methodology Type</t>
  </si>
  <si>
    <t>Model N Version Number</t>
  </si>
  <si>
    <t>Area - Process to Review</t>
  </si>
  <si>
    <t>Identified by:</t>
  </si>
  <si>
    <t>Describe Issue or Best Practice</t>
  </si>
  <si>
    <t>Reccommneded Action</t>
  </si>
  <si>
    <t>Customer Project Sponsor(s)</t>
  </si>
  <si>
    <t>Customer Project Manager(s)</t>
  </si>
  <si>
    <t>Deliverable</t>
  </si>
  <si>
    <t>Role</t>
  </si>
  <si>
    <t>Instructions</t>
  </si>
  <si>
    <t>Deliverable Tracker</t>
  </si>
  <si>
    <t>RAID</t>
  </si>
  <si>
    <t>Gantt</t>
  </si>
  <si>
    <t>RACI</t>
  </si>
  <si>
    <t>Communication (Hidden)</t>
  </si>
  <si>
    <t>CCR (Hidden)</t>
  </si>
  <si>
    <t>Lessons Learned (Hidden)</t>
  </si>
  <si>
    <t>Project Repository Link</t>
  </si>
  <si>
    <t>Model N MD / Executive Sponsor</t>
  </si>
  <si>
    <t>Project</t>
  </si>
  <si>
    <t>Project Name (Open Air Name)</t>
  </si>
  <si>
    <t>Estimated Start</t>
  </si>
  <si>
    <t>Estimated Finish</t>
  </si>
  <si>
    <t>Estimated Duration</t>
  </si>
  <si>
    <t>Services Budget</t>
  </si>
  <si>
    <t>Expenses Budget</t>
  </si>
  <si>
    <t>Industry (e.g. Med Device)</t>
  </si>
  <si>
    <t>Contract Terms (e.g. T&amp;M)</t>
  </si>
  <si>
    <t>Other Info</t>
  </si>
  <si>
    <t>Overview</t>
  </si>
  <si>
    <t>Logistics (Hidden)</t>
  </si>
  <si>
    <t>Use this to identify general project information that should not change week to week</t>
  </si>
  <si>
    <t>Use this to provide status on the 7 keys to project success</t>
  </si>
  <si>
    <t>Use this to track the key project milestones that should be monitored on a weekly basis</t>
  </si>
  <si>
    <t>Use this to manage key project deliverables in order to meet the project objectives &amp; contractual commitments, including assumptions and dependencies</t>
  </si>
  <si>
    <t>This is a modified version of a typical RAID log, use this to manage the project Risks, Actions, Issues and Decisions</t>
  </si>
  <si>
    <t>Use this to depict the high level project schedule</t>
  </si>
  <si>
    <t>Use this to manage project logistics</t>
  </si>
  <si>
    <t>Use this tab to highlight the project communication plans (e.g. meetings, etc…)</t>
  </si>
  <si>
    <t>Use this to manage the Change Requests / Change Orders of the project</t>
  </si>
  <si>
    <t>Use this to highlight any best practices or lessons learned on the project - these should be logged throughout the project</t>
  </si>
  <si>
    <t>Purpose of Tab</t>
  </si>
  <si>
    <t>Purpose of Workbook</t>
  </si>
  <si>
    <t>How to Use</t>
  </si>
  <si>
    <t>Naming Convention</t>
  </si>
  <si>
    <t>Update Date</t>
  </si>
  <si>
    <t>This workbook is meant to assist Project Managers in managing projects.  It is built on a simplified version of many typical project workbooks.  It is not meant to discourage use of individually preferred tools.</t>
  </si>
  <si>
    <t>Use this to provide a clear view of who is responsible, Accountable, Consulted, and Informed for the project</t>
  </si>
  <si>
    <t>Requires Escalation</t>
  </si>
  <si>
    <t>Work stream</t>
  </si>
  <si>
    <t>Dev. Environment Setup</t>
  </si>
  <si>
    <t>Project Objective</t>
  </si>
  <si>
    <r>
      <t xml:space="preserve">Update this workbook daily/weekly, save into shared drive.  You can add tabs as desired, however </t>
    </r>
    <r>
      <rPr>
        <i/>
        <sz val="10"/>
        <color rgb="FFFF0000"/>
        <rFont val="Calibri"/>
        <family val="2"/>
        <scheme val="minor"/>
      </rPr>
      <t>the Status, Overview and Milestones tabs need to be updated weekly in the Model N</t>
    </r>
    <r>
      <rPr>
        <i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Format.  Deliverable Tracker, RAID, Gantt and RACI are required for projects (not MPC projects), however, a PM can use a customer format or other format as desired.  This workbook should be in addition to resource, stakeholder management matrix's and financial trackers.</t>
    </r>
  </si>
  <si>
    <r>
      <t xml:space="preserve">7 Keys Status  </t>
    </r>
    <r>
      <rPr>
        <i/>
        <sz val="8"/>
        <color rgb="FFFFFFFF"/>
        <rFont val="Calibri"/>
        <family val="2"/>
        <scheme val="minor"/>
      </rPr>
      <t>(limit length of input to 3-5 concise points)</t>
    </r>
  </si>
  <si>
    <t>Planned Action for Red / Yellow Items (status)</t>
  </si>
  <si>
    <t>Work-stream</t>
  </si>
  <si>
    <t>Author</t>
  </si>
  <si>
    <t>Approver</t>
  </si>
  <si>
    <t>FDS Name</t>
  </si>
  <si>
    <t>FDS Tracker</t>
  </si>
  <si>
    <t>FDS Content</t>
  </si>
  <si>
    <t>Planned Sign-Off Date</t>
  </si>
  <si>
    <t>Actual Sign-Off Date</t>
  </si>
  <si>
    <t>Planned Submittal</t>
  </si>
  <si>
    <t>Actual Submital</t>
  </si>
  <si>
    <t>Approval Status</t>
  </si>
  <si>
    <t>Author / Owner</t>
  </si>
  <si>
    <t>Actual Submittal</t>
  </si>
  <si>
    <t>Planned Submission Date</t>
  </si>
  <si>
    <t>Customer Requirement</t>
  </si>
  <si>
    <t>Model N Use Case</t>
  </si>
  <si>
    <t>Model N Use Case ID</t>
  </si>
  <si>
    <t>Model N Scenario ID</t>
  </si>
  <si>
    <t>Customer Requirement ID</t>
  </si>
  <si>
    <t>Customer FDS</t>
  </si>
  <si>
    <t>Model N Test Case</t>
  </si>
  <si>
    <t>Model N Test Script ID</t>
  </si>
  <si>
    <t>Requirement Owner</t>
  </si>
  <si>
    <t>Inputs &amp; Expected Results Owner</t>
  </si>
  <si>
    <t>ATS Configuror</t>
  </si>
  <si>
    <t>Script Mapping Status</t>
  </si>
  <si>
    <t>Model N Scenario</t>
  </si>
  <si>
    <t>Planned Mapping Date</t>
  </si>
  <si>
    <t>Planned I &amp; ER Date</t>
  </si>
  <si>
    <t>Planned ATS Configured Date</t>
  </si>
  <si>
    <t>Functional / BA Owner</t>
  </si>
  <si>
    <t>I &amp; ER Status</t>
  </si>
  <si>
    <t>Script Configuration Status</t>
  </si>
  <si>
    <t>Item</t>
  </si>
  <si>
    <t>Detail</t>
  </si>
  <si>
    <t>Plan Date</t>
  </si>
  <si>
    <t>Test Scrtip Tracker</t>
  </si>
  <si>
    <t>Blank Tracker</t>
  </si>
  <si>
    <t>Use this to track Functional Design Spec Status</t>
  </si>
  <si>
    <t>Use this to track Test Scrtip Status</t>
  </si>
  <si>
    <t>Use this to create other unique trackers (e.g. Enviornments)</t>
  </si>
  <si>
    <t>COE
SA</t>
  </si>
  <si>
    <t>BA</t>
  </si>
  <si>
    <t>Workshop Duration (Hrs)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</si>
  <si>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</si>
  <si>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</si>
  <si>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</si>
  <si>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</si>
  <si>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</si>
  <si>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</si>
  <si>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</si>
  <si>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</si>
  <si>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</si>
  <si>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</si>
  <si>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</si>
  <si>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</si>
  <si>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</si>
  <si>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</si>
  <si>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</si>
  <si>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</si>
  <si>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Master Data</t>
  </si>
  <si>
    <t>Manage Customer</t>
  </si>
  <si>
    <t>Eric K</t>
  </si>
  <si>
    <t>Neeraj
Ambika</t>
  </si>
  <si>
    <t>Manage GPO Membership</t>
  </si>
  <si>
    <t>Manage Plan Membership</t>
  </si>
  <si>
    <t>Kristina</t>
  </si>
  <si>
    <t>Neeraj</t>
  </si>
  <si>
    <t>Manage Product</t>
  </si>
  <si>
    <t>Bill Watts, Watson IT, Business, Eric K, Jesse</t>
  </si>
  <si>
    <t>Neeraj
Gowri</t>
  </si>
  <si>
    <t>Manage Market Baskets</t>
  </si>
  <si>
    <t>Manage Formulary</t>
  </si>
  <si>
    <t>Manage Price List
Price List Approval Route</t>
  </si>
  <si>
    <t>Manage Price Floor</t>
  </si>
  <si>
    <t>Manage User Groups/Roles</t>
  </si>
  <si>
    <t>Eric K, Jesse, Kristina</t>
  </si>
  <si>
    <t>Contracts and Pricing (PBC)</t>
  </si>
  <si>
    <t>Contract Creation/Maintenance</t>
  </si>
  <si>
    <t>Pricing Strategy (Contract Mapping)</t>
  </si>
  <si>
    <t>Compliance Strategy (Contract Mapping)</t>
  </si>
  <si>
    <t>Manage Contract Eligiblity</t>
  </si>
  <si>
    <t>Commercial Contract Approvals</t>
  </si>
  <si>
    <t>Mass Updates</t>
  </si>
  <si>
    <t>Price Resolution</t>
  </si>
  <si>
    <t>Contract Reporting</t>
  </si>
  <si>
    <t>Utilization Based Contracting (MCO)</t>
  </si>
  <si>
    <t>Contract Mapping</t>
  </si>
  <si>
    <t>Manage MCO Contract Elibility</t>
  </si>
  <si>
    <t>MCO Contract Approvals</t>
  </si>
  <si>
    <t>Rebate Strategies</t>
  </si>
  <si>
    <t>Review representative contracts</t>
  </si>
  <si>
    <t>Define PBC Strategies per contract</t>
  </si>
  <si>
    <t>Prototype</t>
  </si>
  <si>
    <t>Commercial Rebate Processing</t>
  </si>
  <si>
    <t>Loading/Validating Utilization Lines</t>
  </si>
  <si>
    <t>MCO Rebate Calculation and Payment Processing</t>
  </si>
  <si>
    <t>MCO Rebate Payment Approvals</t>
  </si>
  <si>
    <t>incl in 85</t>
  </si>
  <si>
    <t>MCO Operational Reports</t>
  </si>
  <si>
    <t>ScriptValidate</t>
  </si>
  <si>
    <t>Government Pricing</t>
  </si>
  <si>
    <t>Manage Product Linkage, Maintain GP Product Attributes</t>
  </si>
  <si>
    <t>Jesse</t>
  </si>
  <si>
    <t>Gowri</t>
  </si>
  <si>
    <t>Activate Price Type (Policy Review)</t>
  </si>
  <si>
    <t xml:space="preserve"> - MAMP
 - QAMP</t>
  </si>
  <si>
    <t xml:space="preserve"> - BP</t>
  </si>
  <si>
    <t xml:space="preserve"> - PHS</t>
  </si>
  <si>
    <t xml:space="preserve"> - ASP</t>
  </si>
  <si>
    <t>- QNFAMP
- ANFAMP
- TNFAMP
- FCP (s)</t>
  </si>
  <si>
    <t>Calculate Workbook
- MAMP, QAMP
- BP
- PHS
- ASP
- QNFAMP, ANFAMP, TNFAMP
- FCP (s)</t>
  </si>
  <si>
    <t>File Workbook
View Dashboards and GP Reports</t>
  </si>
  <si>
    <t>FSS Compliance and DRM</t>
  </si>
  <si>
    <t>Configure &amp; Activate FSS Policy (Policy Mapping)</t>
  </si>
  <si>
    <t>Review and Analyze FSS Price Points</t>
  </si>
  <si>
    <t>Process Notifications and approve RFM
Activate FSS Price List
FSS Operational Reports</t>
  </si>
  <si>
    <t>Medicaid</t>
  </si>
  <si>
    <t>Create Program</t>
  </si>
  <si>
    <t>Manage Medicaid Policies
Manage Pricing
Manage Medicaid Rates
Medicaid Customer</t>
  </si>
  <si>
    <t>Process Medicaid Claims
Process and Request Medicaid Payment
Maintain Reimbursement Info
Medicaid Operational Reports</t>
  </si>
  <si>
    <t>RMI</t>
  </si>
  <si>
    <t>Price Impact</t>
  </si>
  <si>
    <t>MCO Impact</t>
  </si>
  <si>
    <t>Technical  Workshops</t>
  </si>
  <si>
    <t>Founcdational Technical Workshops</t>
  </si>
  <si>
    <t>Environments, Infrastructure and Performance</t>
  </si>
  <si>
    <t>Praney</t>
  </si>
  <si>
    <t>Bill/Suresh</t>
  </si>
  <si>
    <t>System Landscape/Integration Approach -1</t>
  </si>
  <si>
    <t>Bill</t>
  </si>
  <si>
    <t>Suresh</t>
  </si>
  <si>
    <t>System Landscape/Integration Approach - 2</t>
  </si>
  <si>
    <t>Model N Build and Release Process</t>
  </si>
  <si>
    <t>Data Conversion Strategy - 6 sessions</t>
  </si>
  <si>
    <t>1,2</t>
  </si>
  <si>
    <t>3,4</t>
  </si>
  <si>
    <t>5,6</t>
  </si>
  <si>
    <t>7,8</t>
  </si>
  <si>
    <t>9,10</t>
  </si>
  <si>
    <t>Batch Processing</t>
  </si>
  <si>
    <t>Reporting Architecture (RME, PI, DW)</t>
  </si>
  <si>
    <t>Bill/Jim</t>
  </si>
  <si>
    <t>RMI Architecture</t>
  </si>
  <si>
    <t>RMI Deployment Planning</t>
  </si>
  <si>
    <t>Archival Strategy</t>
  </si>
  <si>
    <t>Interface Mapping Workshops  Schedule</t>
  </si>
  <si>
    <t>Master Data and Contract Management</t>
  </si>
  <si>
    <t>Customers and Legal Entity Hierarchy</t>
  </si>
  <si>
    <t>Products, Competitor Products</t>
  </si>
  <si>
    <t>Market Baskets, Formulary</t>
  </si>
  <si>
    <t>Price Lists</t>
  </si>
  <si>
    <t>Membership Roster</t>
  </si>
  <si>
    <t>Institutional (PBC)</t>
  </si>
  <si>
    <t>Direct Sales</t>
  </si>
  <si>
    <t>Indirect Sales</t>
  </si>
  <si>
    <t>Custom Sales</t>
  </si>
  <si>
    <t>Real Time Pricing?</t>
  </si>
  <si>
    <t>Chargeback Payment Request</t>
  </si>
  <si>
    <t>PBC Rebate Payment Request</t>
  </si>
  <si>
    <t>Admin Fee Rebate Payment Request</t>
  </si>
  <si>
    <t>Chargeback Payment Confirmation</t>
  </si>
  <si>
    <t>PBC Rebate Payment Confirmation</t>
  </si>
  <si>
    <t>Admin Fee Rebate Payment Confirmation</t>
  </si>
  <si>
    <t>Bid Awards (EDI 845)</t>
  </si>
  <si>
    <t>Chargeback Reconciliation (EDI 849)</t>
  </si>
  <si>
    <t>Managed Care (UBC)</t>
  </si>
  <si>
    <t>Managed Care (UBC) Utilization</t>
  </si>
  <si>
    <t>UBC Rebate Payment Request</t>
  </si>
  <si>
    <t>UBC Rebate Payment Confirmation</t>
  </si>
  <si>
    <t>National Market Share</t>
  </si>
  <si>
    <t>Conversion Mapping Workshops  Schedule</t>
  </si>
  <si>
    <t>Book of Business/Plans</t>
  </si>
  <si>
    <t>Medicaid Programs conversion</t>
  </si>
  <si>
    <t>Medicaid Claims Conversion</t>
  </si>
  <si>
    <t>URA Conversion</t>
  </si>
  <si>
    <t>Government Price Lists conversion</t>
  </si>
  <si>
    <t>Product Attributes for GP</t>
  </si>
  <si>
    <t>GP Conversion considerations - Rebate Types, etc</t>
  </si>
  <si>
    <t>Admininstration Workshops</t>
  </si>
  <si>
    <t>Users, roles, groups - detailed</t>
  </si>
  <si>
    <t>LDAP/Single Sign on, password validations, etc</t>
  </si>
  <si>
    <t>Workshop</t>
  </si>
  <si>
    <t>&lt;Cust&gt; / Model N Integration Development &amp; Testing</t>
  </si>
  <si>
    <t>Legend</t>
  </si>
  <si>
    <t>Green</t>
  </si>
  <si>
    <t>Mock Conversions</t>
  </si>
  <si>
    <t>White</t>
  </si>
  <si>
    <t>Not Started</t>
  </si>
  <si>
    <t>Red</t>
  </si>
  <si>
    <t>Past Due</t>
  </si>
  <si>
    <t>Mock 0: Design Prototype</t>
  </si>
  <si>
    <t>Mock 2: Full Breadth Data for SIT</t>
  </si>
  <si>
    <t>Blue</t>
  </si>
  <si>
    <t>In Progress</t>
  </si>
  <si>
    <t>Gray</t>
  </si>
  <si>
    <t>Mock 1: Partial Data Test</t>
  </si>
  <si>
    <t>Mock 3: Full Volume for Performance Test/UAT</t>
  </si>
  <si>
    <t>Documentation</t>
  </si>
  <si>
    <t>Mock 0</t>
  </si>
  <si>
    <t>Mock 1</t>
  </si>
  <si>
    <t>Mock 2</t>
  </si>
  <si>
    <t>Mock 3</t>
  </si>
  <si>
    <t>Action Items</t>
  </si>
  <si>
    <t>Data Flow / Integration Activity</t>
  </si>
  <si>
    <t>Source System</t>
  </si>
  <si>
    <t>MN Interface Layout</t>
  </si>
  <si>
    <t>MN TDS</t>
  </si>
  <si>
    <t>&lt;Cust&gt; TDS</t>
  </si>
  <si>
    <t>Model N Interfaces Ready</t>
  </si>
  <si>
    <t>Extract &amp;
Transform</t>
  </si>
  <si>
    <t>Load</t>
  </si>
  <si>
    <t>Data Reconciliation/UI Test</t>
  </si>
  <si>
    <t>Action Item</t>
  </si>
  <si>
    <t>Date Due</t>
  </si>
  <si>
    <t>Responsibility</t>
  </si>
  <si>
    <t>&lt;Cust&gt;</t>
  </si>
  <si>
    <t>&lt;Cust&gt;/Model N</t>
  </si>
  <si>
    <t>#</t>
  </si>
  <si>
    <t>Master Data/Contracts</t>
  </si>
  <si>
    <t xml:space="preserve">Starts: </t>
  </si>
  <si>
    <t xml:space="preserve">Ends: </t>
  </si>
  <si>
    <t>Ends:</t>
  </si>
  <si>
    <t>Conversion - Direct Customer</t>
  </si>
  <si>
    <t>SAP</t>
  </si>
  <si>
    <t>Conversion - Indirect Customer</t>
  </si>
  <si>
    <t>Ongoing - Direct Customer</t>
  </si>
  <si>
    <t>Ongoing - Indirect Customer</t>
  </si>
  <si>
    <t>Legal Entity Hierarchy (LEH)</t>
  </si>
  <si>
    <t xml:space="preserve"> </t>
  </si>
  <si>
    <t>Conversion</t>
  </si>
  <si>
    <t>Ongoing</t>
  </si>
  <si>
    <t>Products</t>
  </si>
  <si>
    <t>Unit of Measure conversion</t>
  </si>
  <si>
    <t>Competitor Products</t>
  </si>
  <si>
    <t>Business</t>
  </si>
  <si>
    <t>Membership</t>
  </si>
  <si>
    <t>Conversion - GPO Membership</t>
  </si>
  <si>
    <t>Book of Business</t>
  </si>
  <si>
    <t>OnGoing</t>
  </si>
  <si>
    <t>Contract Conversion</t>
  </si>
  <si>
    <t>Contracts</t>
  </si>
  <si>
    <t>Conversion - Contract Header</t>
  </si>
  <si>
    <t>Conversion - Products and Pricing</t>
  </si>
  <si>
    <t>Commercial/Managed Care</t>
  </si>
  <si>
    <t>Conversion - SIT</t>
  </si>
  <si>
    <t>Conversion - Full</t>
  </si>
  <si>
    <t>Chargebacks</t>
  </si>
  <si>
    <t>Revitas</t>
  </si>
  <si>
    <t>Ongoing - EDI 844</t>
  </si>
  <si>
    <t>Gentran</t>
  </si>
  <si>
    <t>Utilization Data</t>
  </si>
  <si>
    <t>UOM Data Maps</t>
  </si>
  <si>
    <t>Customer Data Maps</t>
  </si>
  <si>
    <t>Market Baskets</t>
  </si>
  <si>
    <t>EDI 845 - Bid Awards</t>
  </si>
  <si>
    <t>EDI 849 - Chargeback Reconciliation</t>
  </si>
  <si>
    <t>Credit/Debit Memo Request</t>
  </si>
  <si>
    <t>Credit/Debit Memo Confirmation</t>
  </si>
  <si>
    <t>Rebate Payment Request</t>
  </si>
  <si>
    <t>Rebate Payment Confirmation</t>
  </si>
  <si>
    <t>Estimated Rebate Payment Request</t>
  </si>
  <si>
    <t>Estimated Rebate Payment Confirmation</t>
  </si>
  <si>
    <t>Coverage Gap Payment Request</t>
  </si>
  <si>
    <t>Accruals</t>
  </si>
  <si>
    <t>Accrual Backout</t>
  </si>
  <si>
    <t>Pricing</t>
  </si>
  <si>
    <t>Real Time</t>
  </si>
  <si>
    <t>Bid Award Extraction</t>
  </si>
  <si>
    <t>Regulatory</t>
  </si>
  <si>
    <t>Historical Rebate Payments</t>
  </si>
  <si>
    <t>Time Series</t>
  </si>
  <si>
    <t>Labeler Codes</t>
  </si>
  <si>
    <t>Medicaid Programs</t>
  </si>
  <si>
    <t>Revitas Medicaid</t>
  </si>
  <si>
    <t>Medicaid Price Lists</t>
  </si>
  <si>
    <t>Medicaid Converted Claims</t>
  </si>
  <si>
    <t>Government Price Lists</t>
  </si>
  <si>
    <t>Revitas GP</t>
  </si>
  <si>
    <t>Medicaid Check Request</t>
  </si>
  <si>
    <t>Medicaid Check Confirmation</t>
  </si>
  <si>
    <r>
      <t>Mock 4</t>
    </r>
    <r>
      <rPr>
        <sz val="10"/>
        <rFont val="Calibri"/>
        <family val="2"/>
        <scheme val="minor"/>
      </rPr>
      <t xml:space="preserve"> (UAT Run)</t>
    </r>
  </si>
  <si>
    <t>Workshop Gantt</t>
  </si>
  <si>
    <t>Integration Matrix</t>
  </si>
  <si>
    <t>Use this to show high level workshop plan</t>
  </si>
  <si>
    <t>Use this to track integration and conversion progress</t>
  </si>
  <si>
    <t>Story ID</t>
  </si>
  <si>
    <t>Release</t>
  </si>
  <si>
    <t>Epic (Key Business Process)</t>
  </si>
  <si>
    <t>Sprint</t>
  </si>
  <si>
    <t>Points 
(1-Low to 5 - High)</t>
  </si>
  <si>
    <t>Story Name</t>
  </si>
  <si>
    <t>Story Description</t>
  </si>
  <si>
    <t>Design</t>
  </si>
  <si>
    <t>Definition of Done</t>
  </si>
  <si>
    <t>Scrum Team Members Responsible</t>
  </si>
  <si>
    <t>Integration Tests</t>
  </si>
  <si>
    <t>Integration Testing Outcome</t>
  </si>
  <si>
    <t>Regression Tests</t>
  </si>
  <si>
    <t>Regressoin Testing Outcome</t>
  </si>
  <si>
    <t>Performance Tests</t>
  </si>
  <si>
    <t>Performance Testing Outcome</t>
  </si>
  <si>
    <t>System Tests</t>
  </si>
  <si>
    <t>System Testing Outcome</t>
  </si>
  <si>
    <t>Date of Acceptance by Customer</t>
  </si>
  <si>
    <t>EXAMPLE
1005</t>
  </si>
  <si>
    <t>EXAMPLE
1</t>
  </si>
  <si>
    <t>1. Master Data Integration</t>
  </si>
  <si>
    <t>EXAMPLE
5</t>
  </si>
  <si>
    <t>EXAMPLE
Multi Currency: Create quote in various currencies</t>
  </si>
  <si>
    <t>EXAMPLE
As a sales rep, I want to be able to select a currency from a list of currencies during the quote creation, so I can quote for my customers who are located in various countries in my region.</t>
  </si>
  <si>
    <t>EXAMPLE
1. Sales rep located in country A creates a new quote for an account located in country B
• Sales rep creates oppty for account 
• Sales rep creates a new quote
• System copies account into quote header
• Sales rep enters contact
2. Sales rep selects currency other than his default currency
• Sales rep sees the default currency maintained for his user
• Sales rep can select from a list of currencies
3. Sales rep adds products to the quote
• Sales rep sees list prices for product in the selected currency
• Sales rep adds product to the quote
• System displays the products in the quote header currency</t>
  </si>
  <si>
    <t xml:space="preserve">Design Document: Functional Design - Section 1 &amp; Technical Design: Section 2 </t>
  </si>
  <si>
    <t>EXAMPLE
Functionality accepted by product owner
No outstanding bugs
Test cases are documented
Design is completed</t>
  </si>
  <si>
    <t>Regression Testing</t>
  </si>
  <si>
    <t>System Testing</t>
  </si>
  <si>
    <t>Conditions of Satisfaction / Definition of Done</t>
  </si>
  <si>
    <t>Tracker for Stories when leveraging Agile Methodology</t>
  </si>
  <si>
    <t>Product Backlog</t>
  </si>
  <si>
    <t>Full Breadth Data Load</t>
  </si>
  <si>
    <t>Full Breadth and Depth Data Load</t>
  </si>
  <si>
    <t>Full Contract Data Load</t>
  </si>
  <si>
    <t>Mock Conversion 1</t>
  </si>
  <si>
    <t>Mock Conversion 2</t>
  </si>
  <si>
    <t>Mock Conversion 3</t>
  </si>
  <si>
    <t>Save weekly on Google Site as [PROJECT][DATE MMDDYY][VERSION] - Example Amgen ICO 03152014</t>
  </si>
  <si>
    <t>Price Types</t>
  </si>
  <si>
    <t>Gap 
Analysis</t>
  </si>
  <si>
    <t>Configuration</t>
  </si>
  <si>
    <t>SIT1</t>
  </si>
  <si>
    <t>SIT2
Full Data</t>
  </si>
  <si>
    <t>SIT3</t>
  </si>
  <si>
    <t>PROD</t>
  </si>
  <si>
    <t>Data 
Source
(MN)</t>
  </si>
  <si>
    <t>Formula
(MN)</t>
  </si>
  <si>
    <t>Filter
(HP)</t>
  </si>
  <si>
    <t>Result 
Column
(MN)</t>
  </si>
  <si>
    <t>Validation
(MN)</t>
  </si>
  <si>
    <t>Overall</t>
  </si>
  <si>
    <t>Data 
Source</t>
  </si>
  <si>
    <t>Formula</t>
  </si>
  <si>
    <t>Filter</t>
  </si>
  <si>
    <t>CB &amp;
DD
(MN)</t>
  </si>
  <si>
    <t>Result 
Column</t>
  </si>
  <si>
    <t>Validation</t>
  </si>
  <si>
    <t>UI</t>
  </si>
  <si>
    <t>Query/
Filter</t>
  </si>
  <si>
    <t>Number 
Matching (Partial Data)</t>
  </si>
  <si>
    <t>Test Script (Full Data)</t>
  </si>
  <si>
    <t>Monthly AMP</t>
  </si>
  <si>
    <t>Completed</t>
  </si>
  <si>
    <t>Quarterly AMP</t>
  </si>
  <si>
    <t>BP Initial</t>
  </si>
  <si>
    <t>BP Restated</t>
  </si>
  <si>
    <t>ASP</t>
  </si>
  <si>
    <t>Quarterly NFAMP</t>
  </si>
  <si>
    <t>Annual NFAMP</t>
  </si>
  <si>
    <t>T/P NFAMP</t>
  </si>
  <si>
    <t>Annual FCP</t>
  </si>
  <si>
    <t>Quarterly FCP</t>
  </si>
  <si>
    <t>Temporary/Provisional FCP</t>
  </si>
  <si>
    <t>TriCare</t>
  </si>
  <si>
    <t>PHS</t>
  </si>
  <si>
    <t>Not Applicable</t>
  </si>
  <si>
    <t>Requirement 
Gathering Status</t>
  </si>
  <si>
    <t>Workshop Date</t>
  </si>
  <si>
    <t>Overall
(%)</t>
  </si>
  <si>
    <t>Off Line Model</t>
  </si>
  <si>
    <t>Delivered Date</t>
  </si>
  <si>
    <t>total value</t>
  </si>
  <si>
    <t>overall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</si>
</sst>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&quot;/&quot;d"/>
    <numFmt numFmtId="165" formatCode="m/d;@"/>
    <numFmt numFmtId="166" formatCode="&quot;Green&quot;;&quot;Red&quot;;&quot;Yellow&quot;;@"/>
    <numFmt numFmtId="167" formatCode="&quot;Improving&quot;;&quot;Same&quot;;&quot;Declining&quot;;@"/>
  </numFmts>
  <fonts count="31" x14ac:knownFonts="1">
    <font>
      <sz val="10"/>
      <name val="Arial"/>
    </font>
    <font>
      <sz val="10"/>
      <name val="Arial"/>
      <family val="2"/>
    </font>
    <font>
      <sz val="9"/>
      <color indexed="81"/>
      <name val="Tahoma"/>
      <family val="2"/>
    </font>
    <font>
      <sz val="8"/>
      <color indexed="8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b/>
      <sz val="8"/>
      <color indexed="81"/>
      <name val="Calibri"/>
      <family val="2"/>
      <scheme val="minor"/>
    </font>
    <font>
      <u/>
      <sz val="10"/>
      <color rgb="FF0000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8"/>
      <color rgb="FFFFFF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u/>
      <sz val="1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0"/>
      <name val="Arial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sz val="14"/>
      <name val="Calibri"/>
      <family val="2"/>
      <scheme val="minor"/>
    </font>
    <font>
      <b/>
      <u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rgb="FFA6A6A6"/>
      <name val="Calibri"/>
      <family val="2"/>
      <scheme val="minor"/>
    </font>
    <font>
      <sz val="10"/>
      <color rgb="FF7F7F7F"/>
      <name val="Calibri"/>
      <family val="2"/>
      <scheme val="minor"/>
    </font>
    <font>
      <u/>
      <sz val="10"/>
      <color theme="10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20124D"/>
        <bgColor rgb="FF20124D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0070C0"/>
        <bgColor rgb="FF20124D"/>
      </patternFill>
    </fill>
    <fill>
      <patternFill patternType="solid">
        <fgColor theme="6" tint="-0.249977111117893"/>
        <bgColor rgb="FF20124D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5" tint="-0.249977111117893"/>
        <bgColor rgb="FF20124D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86DD55"/>
        <bgColor rgb="FFBFBFBF"/>
      </patternFill>
    </fill>
    <fill>
      <patternFill patternType="solid">
        <fgColor rgb="FFFF5050"/>
        <bgColor rgb="FFFF8080"/>
      </patternFill>
    </fill>
    <fill>
      <patternFill patternType="solid">
        <fgColor rgb="FFC6D9F1"/>
        <bgColor rgb="FFD9D9D9"/>
      </patternFill>
    </fill>
    <fill>
      <patternFill patternType="solid">
        <fgColor rgb="FFD9D9D9"/>
        <bgColor rgb="FFC6D9F1"/>
      </patternFill>
    </fill>
    <fill>
      <patternFill patternType="solid">
        <fgColor rgb="FFC0C0C0"/>
        <bgColor rgb="FFBFBFB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C6D9F1"/>
      </patternFill>
    </fill>
    <fill>
      <patternFill patternType="solid">
        <fgColor theme="0"/>
        <bgColor rgb="FFC0C0C0"/>
      </patternFill>
    </fill>
    <fill>
      <patternFill patternType="solid">
        <fgColor theme="3" tint="0.79998168889431442"/>
        <bgColor rgb="FFFFFFCC"/>
      </patternFill>
    </fill>
    <fill>
      <patternFill patternType="solid">
        <fgColor rgb="FFD9D9D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3"/>
    <xf numFmtId="0" fontId="1" fillId="0" borderId="3">
      <alignment vertical="center"/>
    </xf>
    <xf numFmtId="0" fontId="20" fillId="0" borderId="3"/>
    <xf numFmtId="0" fontId="28" fillId="0" borderId="0" applyNumberFormat="0" applyFill="0" applyBorder="0" applyAlignment="0" applyProtection="0"/>
  </cellStyleXfs>
  <cellXfs count="343">
    <xf numFmtId="0" fontId="0" fillId="0" borderId="0" xfId="0"/>
    <xf numFmtId="0" fontId="1" fillId="0" borderId="1" xfId="0" applyFont="1" applyBorder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49" fontId="8" fillId="0" borderId="4" xfId="1" applyNumberFormat="1" applyFont="1" applyBorder="1" applyAlignment="1">
      <alignment horizontal="center" vertical="center" wrapText="1"/>
    </xf>
    <xf numFmtId="0" fontId="5" fillId="0" borderId="1" xfId="0" applyFont="1" applyBorder="1" applyAlignment="1"/>
    <xf numFmtId="0" fontId="5" fillId="0" borderId="1" xfId="0" applyFont="1" applyBorder="1"/>
    <xf numFmtId="0" fontId="10" fillId="3" borderId="1" xfId="0" applyFont="1" applyFill="1" applyBorder="1" applyAlignment="1"/>
    <xf numFmtId="0" fontId="5" fillId="3" borderId="1" xfId="0" applyFont="1" applyFill="1" applyBorder="1"/>
    <xf numFmtId="0" fontId="5" fillId="0" borderId="3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/>
    <xf numFmtId="0" fontId="6" fillId="6" borderId="1" xfId="0" applyFont="1" applyFill="1" applyBorder="1"/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0" fontId="5" fillId="0" borderId="1" xfId="0" applyFont="1" applyBorder="1" applyAlignment="1">
      <alignment wrapText="1"/>
    </xf>
    <xf numFmtId="0" fontId="7" fillId="0" borderId="3" xfId="0" applyFont="1" applyBorder="1" applyAlignment="1">
      <alignment horizontal="left"/>
    </xf>
    <xf numFmtId="0" fontId="5" fillId="0" borderId="3" xfId="0" applyFont="1" applyBorder="1" applyAlignment="1"/>
    <xf numFmtId="0" fontId="5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top" wrapText="1"/>
    </xf>
    <xf numFmtId="0" fontId="1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8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164" fontId="11" fillId="5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5" fillId="0" borderId="4" xfId="0" applyFont="1" applyBorder="1"/>
    <xf numFmtId="0" fontId="6" fillId="2" borderId="4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14" fontId="5" fillId="10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left" vertical="center" wrapText="1"/>
    </xf>
    <xf numFmtId="14" fontId="5" fillId="14" borderId="1" xfId="0" applyNumberFormat="1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vertical="center" wrapText="1"/>
    </xf>
    <xf numFmtId="0" fontId="5" fillId="20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1" fillId="0" borderId="12" xfId="2" applyNumberFormat="1" applyFont="1" applyFill="1" applyBorder="1" applyAlignment="1">
      <alignment wrapText="1"/>
    </xf>
    <xf numFmtId="0" fontId="1" fillId="0" borderId="13" xfId="2" applyNumberFormat="1" applyFont="1" applyFill="1" applyBorder="1" applyAlignment="1">
      <alignment wrapText="1"/>
    </xf>
    <xf numFmtId="0" fontId="18" fillId="21" borderId="4" xfId="2" applyNumberFormat="1" applyFont="1" applyFill="1" applyBorder="1" applyAlignment="1">
      <alignment horizontal="center"/>
    </xf>
    <xf numFmtId="0" fontId="1" fillId="0" borderId="3" xfId="2" applyFont="1">
      <alignment vertical="center"/>
    </xf>
    <xf numFmtId="0" fontId="1" fillId="0" borderId="14" xfId="2" applyFont="1" applyBorder="1">
      <alignment vertical="center"/>
    </xf>
    <xf numFmtId="0" fontId="17" fillId="0" borderId="4" xfId="2" applyNumberFormat="1" applyFont="1" applyFill="1" applyBorder="1" applyAlignment="1">
      <alignment wrapText="1"/>
    </xf>
    <xf numFmtId="0" fontId="17" fillId="0" borderId="4" xfId="2" applyNumberFormat="1" applyFont="1" applyFill="1" applyBorder="1" applyAlignment="1">
      <alignment horizontal="center" wrapText="1"/>
    </xf>
    <xf numFmtId="0" fontId="1" fillId="0" borderId="4" xfId="2" applyNumberFormat="1" applyFont="1" applyFill="1" applyBorder="1" applyAlignment="1">
      <alignment vertical="top" wrapText="1"/>
    </xf>
    <xf numFmtId="0" fontId="1" fillId="0" borderId="4" xfId="2" applyNumberFormat="1" applyFont="1" applyFill="1" applyBorder="1" applyAlignment="1">
      <alignment horizontal="center" vertical="top" wrapText="1"/>
    </xf>
    <xf numFmtId="0" fontId="1" fillId="0" borderId="4" xfId="2" applyFont="1" applyBorder="1">
      <alignment vertical="center"/>
    </xf>
    <xf numFmtId="0" fontId="18" fillId="0" borderId="4" xfId="2" applyNumberFormat="1" applyFont="1" applyFill="1" applyBorder="1" applyAlignment="1">
      <alignment horizontal="left" vertical="top"/>
    </xf>
    <xf numFmtId="0" fontId="18" fillId="0" borderId="4" xfId="2" applyNumberFormat="1" applyFont="1" applyFill="1" applyBorder="1" applyAlignment="1">
      <alignment vertical="top" wrapText="1"/>
    </xf>
    <xf numFmtId="0" fontId="18" fillId="0" borderId="4" xfId="2" applyNumberFormat="1" applyFont="1" applyFill="1" applyBorder="1" applyAlignment="1">
      <alignment horizontal="left" vertical="top" wrapText="1"/>
    </xf>
    <xf numFmtId="0" fontId="18" fillId="0" borderId="4" xfId="2" applyNumberFormat="1" applyFont="1" applyFill="1" applyBorder="1" applyAlignment="1">
      <alignment vertical="top"/>
    </xf>
    <xf numFmtId="0" fontId="18" fillId="22" borderId="4" xfId="2" applyNumberFormat="1" applyFont="1" applyFill="1" applyBorder="1" applyAlignment="1">
      <alignment vertical="top"/>
    </xf>
    <xf numFmtId="0" fontId="1" fillId="23" borderId="4" xfId="2" applyNumberFormat="1" applyFont="1" applyFill="1" applyBorder="1" applyAlignment="1">
      <alignment vertical="top" wrapText="1"/>
    </xf>
    <xf numFmtId="0" fontId="1" fillId="23" borderId="4" xfId="2" applyNumberFormat="1" applyFont="1" applyFill="1" applyBorder="1" applyAlignment="1">
      <alignment horizontal="center" vertical="top" wrapText="1"/>
    </xf>
    <xf numFmtId="0" fontId="1" fillId="0" borderId="4" xfId="2" applyFont="1" applyFill="1" applyBorder="1">
      <alignment vertical="center"/>
    </xf>
    <xf numFmtId="0" fontId="18" fillId="0" borderId="4" xfId="2" applyNumberFormat="1" applyFont="1" applyFill="1" applyBorder="1" applyAlignment="1">
      <alignment horizontal="center" vertical="top"/>
    </xf>
    <xf numFmtId="0" fontId="1" fillId="0" borderId="4" xfId="2" applyNumberFormat="1" applyFont="1" applyFill="1" applyBorder="1" applyAlignment="1">
      <alignment wrapText="1"/>
    </xf>
    <xf numFmtId="0" fontId="1" fillId="0" borderId="4" xfId="2" applyNumberFormat="1" applyFont="1" applyFill="1" applyBorder="1" applyAlignment="1">
      <alignment horizontal="center" wrapText="1"/>
    </xf>
    <xf numFmtId="0" fontId="1" fillId="24" borderId="4" xfId="2" applyNumberFormat="1" applyFont="1" applyFill="1" applyBorder="1" applyAlignment="1">
      <alignment horizontal="center" vertical="top" wrapText="1"/>
    </xf>
    <xf numFmtId="0" fontId="18" fillId="24" borderId="4" xfId="2" applyNumberFormat="1" applyFont="1" applyFill="1" applyBorder="1" applyAlignment="1">
      <alignment horizontal="left" vertical="top"/>
    </xf>
    <xf numFmtId="0" fontId="18" fillId="25" borderId="4" xfId="2" applyNumberFormat="1" applyFont="1" applyFill="1" applyBorder="1" applyAlignment="1">
      <alignment vertical="top"/>
    </xf>
    <xf numFmtId="0" fontId="18" fillId="25" borderId="4" xfId="2" applyNumberFormat="1" applyFont="1" applyFill="1" applyBorder="1" applyAlignment="1">
      <alignment horizontal="center"/>
    </xf>
    <xf numFmtId="0" fontId="1" fillId="25" borderId="4" xfId="2" applyNumberFormat="1" applyFont="1" applyFill="1" applyBorder="1" applyAlignment="1">
      <alignment vertical="top" wrapText="1"/>
    </xf>
    <xf numFmtId="0" fontId="18" fillId="26" borderId="4" xfId="2" applyNumberFormat="1" applyFont="1" applyFill="1" applyBorder="1" applyAlignment="1">
      <alignment vertical="top"/>
    </xf>
    <xf numFmtId="0" fontId="1" fillId="26" borderId="4" xfId="2" applyNumberFormat="1" applyFont="1" applyFill="1" applyBorder="1" applyAlignment="1">
      <alignment horizontal="center" vertical="top" wrapText="1"/>
    </xf>
    <xf numFmtId="0" fontId="1" fillId="26" borderId="4" xfId="2" applyNumberFormat="1" applyFont="1" applyFill="1" applyBorder="1" applyAlignment="1">
      <alignment vertical="top" wrapText="1"/>
    </xf>
    <xf numFmtId="16" fontId="1" fillId="26" borderId="4" xfId="2" applyNumberFormat="1" applyFont="1" applyFill="1" applyBorder="1" applyAlignment="1">
      <alignment horizontal="center" vertical="top" wrapText="1"/>
    </xf>
    <xf numFmtId="0" fontId="5" fillId="27" borderId="3" xfId="3" applyFont="1" applyFill="1" applyBorder="1" applyAlignment="1">
      <alignment horizontal="center"/>
    </xf>
    <xf numFmtId="165" fontId="23" fillId="27" borderId="3" xfId="3" applyNumberFormat="1" applyFont="1" applyFill="1" applyBorder="1" applyAlignment="1">
      <alignment horizontal="left"/>
    </xf>
    <xf numFmtId="165" fontId="5" fillId="27" borderId="3" xfId="3" applyNumberFormat="1" applyFont="1" applyFill="1" applyBorder="1" applyAlignment="1">
      <alignment horizontal="right"/>
    </xf>
    <xf numFmtId="165" fontId="5" fillId="27" borderId="3" xfId="3" applyNumberFormat="1" applyFont="1" applyFill="1" applyBorder="1"/>
    <xf numFmtId="165" fontId="24" fillId="27" borderId="16" xfId="3" applyNumberFormat="1" applyFont="1" applyFill="1" applyBorder="1" applyAlignment="1">
      <alignment horizontal="center"/>
    </xf>
    <xf numFmtId="165" fontId="24" fillId="27" borderId="17" xfId="3" applyNumberFormat="1" applyFont="1" applyFill="1" applyBorder="1" applyAlignment="1">
      <alignment horizontal="center"/>
    </xf>
    <xf numFmtId="165" fontId="5" fillId="28" borderId="18" xfId="3" applyNumberFormat="1" applyFont="1" applyFill="1" applyBorder="1"/>
    <xf numFmtId="165" fontId="5" fillId="27" borderId="19" xfId="3" applyNumberFormat="1" applyFont="1" applyFill="1" applyBorder="1"/>
    <xf numFmtId="0" fontId="5" fillId="27" borderId="3" xfId="3" applyFont="1" applyFill="1" applyBorder="1"/>
    <xf numFmtId="165" fontId="23" fillId="27" borderId="3" xfId="3" applyNumberFormat="1" applyFont="1" applyFill="1" applyBorder="1" applyAlignment="1">
      <alignment horizontal="right"/>
    </xf>
    <xf numFmtId="165" fontId="5" fillId="27" borderId="21" xfId="3" applyNumberFormat="1" applyFont="1" applyFill="1" applyBorder="1"/>
    <xf numFmtId="165" fontId="6" fillId="29" borderId="3" xfId="3" applyNumberFormat="1" applyFont="1" applyFill="1" applyBorder="1"/>
    <xf numFmtId="165" fontId="5" fillId="27" borderId="22" xfId="3" applyNumberFormat="1" applyFont="1" applyFill="1" applyBorder="1"/>
    <xf numFmtId="0" fontId="5" fillId="27" borderId="23" xfId="3" applyFont="1" applyFill="1" applyBorder="1" applyAlignment="1">
      <alignment horizontal="left"/>
    </xf>
    <xf numFmtId="0" fontId="5" fillId="27" borderId="18" xfId="3" applyFont="1" applyFill="1" applyBorder="1" applyAlignment="1">
      <alignment horizontal="left"/>
    </xf>
    <xf numFmtId="165" fontId="5" fillId="27" borderId="18" xfId="3" applyNumberFormat="1" applyFont="1" applyFill="1" applyBorder="1" applyAlignment="1">
      <alignment horizontal="left"/>
    </xf>
    <xf numFmtId="0" fontId="5" fillId="27" borderId="19" xfId="3" applyFont="1" applyFill="1" applyBorder="1"/>
    <xf numFmtId="165" fontId="13" fillId="30" borderId="24" xfId="3" applyNumberFormat="1" applyFont="1" applyFill="1" applyBorder="1"/>
    <xf numFmtId="165" fontId="5" fillId="27" borderId="25" xfId="3" applyNumberFormat="1" applyFont="1" applyFill="1" applyBorder="1"/>
    <xf numFmtId="165" fontId="5" fillId="31" borderId="25" xfId="3" applyNumberFormat="1" applyFont="1" applyFill="1" applyBorder="1" applyAlignment="1">
      <alignment horizontal="left"/>
    </xf>
    <xf numFmtId="165" fontId="5" fillId="27" borderId="26" xfId="3" applyNumberFormat="1" applyFont="1" applyFill="1" applyBorder="1"/>
    <xf numFmtId="0" fontId="5" fillId="27" borderId="24" xfId="3" applyFont="1" applyFill="1" applyBorder="1" applyAlignment="1">
      <alignment horizontal="left"/>
    </xf>
    <xf numFmtId="0" fontId="5" fillId="27" borderId="25" xfId="3" applyFont="1" applyFill="1" applyBorder="1" applyAlignment="1">
      <alignment horizontal="left"/>
    </xf>
    <xf numFmtId="165" fontId="5" fillId="27" borderId="25" xfId="3" applyNumberFormat="1" applyFont="1" applyFill="1" applyBorder="1" applyAlignment="1">
      <alignment horizontal="left"/>
    </xf>
    <xf numFmtId="0" fontId="5" fillId="27" borderId="26" xfId="3" applyFont="1" applyFill="1" applyBorder="1"/>
    <xf numFmtId="0" fontId="5" fillId="27" borderId="23" xfId="3" applyFont="1" applyFill="1" applyBorder="1" applyAlignment="1">
      <alignment horizontal="center"/>
    </xf>
    <xf numFmtId="165" fontId="5" fillId="27" borderId="27" xfId="3" applyNumberFormat="1" applyFont="1" applyFill="1" applyBorder="1" applyAlignment="1">
      <alignment horizontal="right"/>
    </xf>
    <xf numFmtId="165" fontId="5" fillId="27" borderId="18" xfId="3" applyNumberFormat="1" applyFont="1" applyFill="1" applyBorder="1" applyAlignment="1">
      <alignment horizontal="right"/>
    </xf>
    <xf numFmtId="0" fontId="5" fillId="27" borderId="21" xfId="3" applyFont="1" applyFill="1" applyBorder="1" applyAlignment="1">
      <alignment horizontal="center"/>
    </xf>
    <xf numFmtId="165" fontId="6" fillId="27" borderId="30" xfId="3" applyNumberFormat="1" applyFont="1" applyFill="1" applyBorder="1" applyAlignment="1">
      <alignment horizontal="left"/>
    </xf>
    <xf numFmtId="165" fontId="6" fillId="27" borderId="3" xfId="3" applyNumberFormat="1" applyFont="1" applyFill="1" applyBorder="1" applyAlignment="1">
      <alignment horizontal="center" wrapText="1"/>
    </xf>
    <xf numFmtId="165" fontId="6" fillId="38" borderId="21" xfId="3" applyNumberFormat="1" applyFont="1" applyFill="1" applyBorder="1" applyAlignment="1">
      <alignment horizontal="center" wrapText="1"/>
    </xf>
    <xf numFmtId="165" fontId="6" fillId="38" borderId="31" xfId="3" applyNumberFormat="1" applyFont="1" applyFill="1" applyBorder="1" applyAlignment="1">
      <alignment horizontal="center" wrapText="1"/>
    </xf>
    <xf numFmtId="165" fontId="6" fillId="38" borderId="32" xfId="3" applyNumberFormat="1" applyFont="1" applyFill="1" applyBorder="1" applyAlignment="1">
      <alignment horizontal="center" wrapText="1"/>
    </xf>
    <xf numFmtId="165" fontId="6" fillId="38" borderId="33" xfId="3" applyNumberFormat="1" applyFont="1" applyFill="1" applyBorder="1" applyAlignment="1">
      <alignment horizontal="center" wrapText="1"/>
    </xf>
    <xf numFmtId="165" fontId="6" fillId="38" borderId="34" xfId="3" applyNumberFormat="1" applyFont="1" applyFill="1" applyBorder="1" applyAlignment="1">
      <alignment horizontal="center" wrapText="1"/>
    </xf>
    <xf numFmtId="165" fontId="6" fillId="38" borderId="35" xfId="3" applyNumberFormat="1" applyFont="1" applyFill="1" applyBorder="1" applyAlignment="1">
      <alignment horizontal="center" wrapText="1"/>
    </xf>
    <xf numFmtId="165" fontId="5" fillId="27" borderId="35" xfId="3" applyNumberFormat="1" applyFont="1" applyFill="1" applyBorder="1" applyAlignment="1">
      <alignment horizontal="right"/>
    </xf>
    <xf numFmtId="165" fontId="5" fillId="27" borderId="36" xfId="3" applyNumberFormat="1" applyFont="1" applyFill="1" applyBorder="1" applyAlignment="1">
      <alignment horizontal="right"/>
    </xf>
    <xf numFmtId="165" fontId="5" fillId="27" borderId="37" xfId="3" applyNumberFormat="1" applyFont="1" applyFill="1" applyBorder="1" applyAlignment="1">
      <alignment horizontal="center"/>
    </xf>
    <xf numFmtId="165" fontId="5" fillId="27" borderId="36" xfId="3" applyNumberFormat="1" applyFont="1" applyFill="1" applyBorder="1" applyAlignment="1">
      <alignment horizontal="center"/>
    </xf>
    <xf numFmtId="165" fontId="5" fillId="27" borderId="38" xfId="3" applyNumberFormat="1" applyFont="1" applyFill="1" applyBorder="1" applyAlignment="1">
      <alignment horizontal="center"/>
    </xf>
    <xf numFmtId="165" fontId="6" fillId="32" borderId="32" xfId="3" applyNumberFormat="1" applyFont="1" applyFill="1" applyBorder="1" applyAlignment="1">
      <alignment wrapText="1"/>
    </xf>
    <xf numFmtId="165" fontId="6" fillId="32" borderId="36" xfId="3" applyNumberFormat="1" applyFont="1" applyFill="1" applyBorder="1" applyAlignment="1">
      <alignment wrapText="1"/>
    </xf>
    <xf numFmtId="165" fontId="25" fillId="32" borderId="38" xfId="3" applyNumberFormat="1" applyFont="1" applyFill="1" applyBorder="1" applyAlignment="1">
      <alignment horizontal="center" wrapText="1"/>
    </xf>
    <xf numFmtId="165" fontId="5" fillId="27" borderId="3" xfId="3" applyNumberFormat="1" applyFont="1" applyFill="1" applyBorder="1" applyAlignment="1">
      <alignment horizontal="left"/>
    </xf>
    <xf numFmtId="165" fontId="5" fillId="33" borderId="21" xfId="3" applyNumberFormat="1" applyFont="1" applyFill="1" applyBorder="1" applyAlignment="1">
      <alignment horizontal="center"/>
    </xf>
    <xf numFmtId="165" fontId="13" fillId="33" borderId="3" xfId="3" applyNumberFormat="1" applyFont="1" applyFill="1" applyBorder="1" applyAlignment="1">
      <alignment horizontal="center"/>
    </xf>
    <xf numFmtId="165" fontId="26" fillId="34" borderId="22" xfId="3" applyNumberFormat="1" applyFont="1" applyFill="1" applyBorder="1" applyAlignment="1">
      <alignment horizontal="center"/>
    </xf>
    <xf numFmtId="165" fontId="5" fillId="27" borderId="21" xfId="3" applyNumberFormat="1" applyFont="1" applyFill="1" applyBorder="1" applyAlignment="1">
      <alignment horizontal="center"/>
    </xf>
    <xf numFmtId="165" fontId="26" fillId="27" borderId="3" xfId="3" applyNumberFormat="1" applyFont="1" applyFill="1" applyBorder="1" applyAlignment="1">
      <alignment horizontal="center"/>
    </xf>
    <xf numFmtId="165" fontId="26" fillId="27" borderId="22" xfId="3" applyNumberFormat="1" applyFont="1" applyFill="1" applyBorder="1" applyAlignment="1">
      <alignment horizontal="center"/>
    </xf>
    <xf numFmtId="165" fontId="5" fillId="27" borderId="3" xfId="3" applyNumberFormat="1" applyFont="1" applyFill="1" applyBorder="1" applyAlignment="1">
      <alignment horizontal="center"/>
    </xf>
    <xf numFmtId="165" fontId="5" fillId="27" borderId="22" xfId="3" applyNumberFormat="1" applyFont="1" applyFill="1" applyBorder="1" applyAlignment="1">
      <alignment horizontal="center"/>
    </xf>
    <xf numFmtId="165" fontId="5" fillId="27" borderId="30" xfId="3" applyNumberFormat="1" applyFont="1" applyFill="1" applyBorder="1" applyAlignment="1">
      <alignment horizontal="left" indent="3"/>
    </xf>
    <xf numFmtId="165" fontId="26" fillId="33" borderId="3" xfId="3" applyNumberFormat="1" applyFont="1" applyFill="1" applyBorder="1" applyAlignment="1">
      <alignment horizontal="center"/>
    </xf>
    <xf numFmtId="165" fontId="6" fillId="35" borderId="3" xfId="3" applyNumberFormat="1" applyFont="1" applyFill="1" applyBorder="1" applyAlignment="1">
      <alignment horizontal="center"/>
    </xf>
    <xf numFmtId="165" fontId="5" fillId="33" borderId="3" xfId="3" applyNumberFormat="1" applyFont="1" applyFill="1" applyBorder="1" applyAlignment="1">
      <alignment horizontal="center"/>
    </xf>
    <xf numFmtId="165" fontId="5" fillId="33" borderId="22" xfId="3" applyNumberFormat="1" applyFont="1" applyFill="1" applyBorder="1" applyAlignment="1">
      <alignment horizontal="center"/>
    </xf>
    <xf numFmtId="165" fontId="5" fillId="35" borderId="21" xfId="3" applyNumberFormat="1" applyFont="1" applyFill="1" applyBorder="1" applyAlignment="1">
      <alignment horizontal="center"/>
    </xf>
    <xf numFmtId="165" fontId="5" fillId="35" borderId="3" xfId="3" applyNumberFormat="1" applyFont="1" applyFill="1" applyBorder="1" applyAlignment="1">
      <alignment horizontal="center"/>
    </xf>
    <xf numFmtId="165" fontId="27" fillId="36" borderId="21" xfId="3" applyNumberFormat="1" applyFont="1" applyFill="1" applyBorder="1" applyAlignment="1">
      <alignment horizontal="center"/>
    </xf>
    <xf numFmtId="165" fontId="27" fillId="36" borderId="3" xfId="3" applyNumberFormat="1" applyFont="1" applyFill="1" applyBorder="1" applyAlignment="1">
      <alignment horizontal="center"/>
    </xf>
    <xf numFmtId="165" fontId="27" fillId="36" borderId="22" xfId="3" applyNumberFormat="1" applyFont="1" applyFill="1" applyBorder="1" applyAlignment="1">
      <alignment horizontal="center"/>
    </xf>
    <xf numFmtId="0" fontId="5" fillId="27" borderId="39" xfId="3" applyFont="1" applyFill="1" applyBorder="1" applyAlignment="1">
      <alignment horizontal="center"/>
    </xf>
    <xf numFmtId="165" fontId="5" fillId="27" borderId="40" xfId="3" applyNumberFormat="1" applyFont="1" applyFill="1" applyBorder="1" applyAlignment="1">
      <alignment horizontal="left" indent="3"/>
    </xf>
    <xf numFmtId="165" fontId="5" fillId="27" borderId="41" xfId="3" applyNumberFormat="1" applyFont="1" applyFill="1" applyBorder="1" applyAlignment="1">
      <alignment horizontal="left"/>
    </xf>
    <xf numFmtId="165" fontId="5" fillId="33" borderId="39" xfId="3" applyNumberFormat="1" applyFont="1" applyFill="1" applyBorder="1" applyAlignment="1">
      <alignment horizontal="center"/>
    </xf>
    <xf numFmtId="165" fontId="26" fillId="33" borderId="41" xfId="3" applyNumberFormat="1" applyFont="1" applyFill="1" applyBorder="1" applyAlignment="1">
      <alignment horizontal="center"/>
    </xf>
    <xf numFmtId="165" fontId="6" fillId="35" borderId="41" xfId="3" applyNumberFormat="1" applyFont="1" applyFill="1" applyBorder="1" applyAlignment="1">
      <alignment horizontal="center"/>
    </xf>
    <xf numFmtId="165" fontId="27" fillId="36" borderId="39" xfId="3" applyNumberFormat="1" applyFont="1" applyFill="1" applyBorder="1" applyAlignment="1">
      <alignment horizontal="center"/>
    </xf>
    <xf numFmtId="165" fontId="27" fillId="36" borderId="41" xfId="3" applyNumberFormat="1" applyFont="1" applyFill="1" applyBorder="1" applyAlignment="1">
      <alignment horizontal="center"/>
    </xf>
    <xf numFmtId="165" fontId="27" fillId="36" borderId="42" xfId="3" applyNumberFormat="1" applyFont="1" applyFill="1" applyBorder="1" applyAlignment="1">
      <alignment horizontal="center"/>
    </xf>
    <xf numFmtId="165" fontId="5" fillId="33" borderId="41" xfId="3" applyNumberFormat="1" applyFont="1" applyFill="1" applyBorder="1" applyAlignment="1">
      <alignment horizontal="center"/>
    </xf>
    <xf numFmtId="165" fontId="5" fillId="33" borderId="42" xfId="3" applyNumberFormat="1" applyFont="1" applyFill="1" applyBorder="1" applyAlignment="1">
      <alignment horizontal="center"/>
    </xf>
    <xf numFmtId="165" fontId="5" fillId="27" borderId="39" xfId="3" applyNumberFormat="1" applyFont="1" applyFill="1" applyBorder="1" applyAlignment="1">
      <alignment horizontal="center"/>
    </xf>
    <xf numFmtId="165" fontId="5" fillId="27" borderId="41" xfId="3" applyNumberFormat="1" applyFont="1" applyFill="1" applyBorder="1" applyAlignment="1">
      <alignment horizontal="center"/>
    </xf>
    <xf numFmtId="165" fontId="5" fillId="27" borderId="42" xfId="3" applyNumberFormat="1" applyFont="1" applyFill="1" applyBorder="1" applyAlignment="1">
      <alignment horizontal="center"/>
    </xf>
    <xf numFmtId="165" fontId="13" fillId="34" borderId="3" xfId="3" applyNumberFormat="1" applyFont="1" applyFill="1" applyBorder="1" applyAlignment="1">
      <alignment horizontal="center"/>
    </xf>
    <xf numFmtId="165" fontId="5" fillId="34" borderId="21" xfId="3" applyNumberFormat="1" applyFont="1" applyFill="1" applyBorder="1" applyAlignment="1">
      <alignment horizontal="center"/>
    </xf>
    <xf numFmtId="165" fontId="5" fillId="34" borderId="3" xfId="3" applyNumberFormat="1" applyFont="1" applyFill="1" applyBorder="1" applyAlignment="1">
      <alignment horizontal="center"/>
    </xf>
    <xf numFmtId="165" fontId="5" fillId="34" borderId="22" xfId="3" applyNumberFormat="1" applyFont="1" applyFill="1" applyBorder="1" applyAlignment="1">
      <alignment horizontal="center"/>
    </xf>
    <xf numFmtId="165" fontId="13" fillId="33" borderId="41" xfId="3" applyNumberFormat="1" applyFont="1" applyFill="1" applyBorder="1" applyAlignment="1">
      <alignment horizontal="center"/>
    </xf>
    <xf numFmtId="165" fontId="6" fillId="35" borderId="42" xfId="3" applyNumberFormat="1" applyFont="1" applyFill="1" applyBorder="1" applyAlignment="1">
      <alignment horizontal="center"/>
    </xf>
    <xf numFmtId="165" fontId="5" fillId="27" borderId="43" xfId="3" applyNumberFormat="1" applyFont="1" applyFill="1" applyBorder="1" applyAlignment="1">
      <alignment horizontal="left"/>
    </xf>
    <xf numFmtId="165" fontId="5" fillId="35" borderId="41" xfId="3" applyNumberFormat="1" applyFont="1" applyFill="1" applyBorder="1" applyAlignment="1">
      <alignment horizontal="center"/>
    </xf>
    <xf numFmtId="165" fontId="5" fillId="35" borderId="42" xfId="3" applyNumberFormat="1" applyFont="1" applyFill="1" applyBorder="1" applyAlignment="1">
      <alignment horizontal="center"/>
    </xf>
    <xf numFmtId="0" fontId="5" fillId="27" borderId="44" xfId="3" applyFont="1" applyFill="1" applyBorder="1" applyAlignment="1">
      <alignment horizontal="center"/>
    </xf>
    <xf numFmtId="165" fontId="6" fillId="27" borderId="45" xfId="3" applyNumberFormat="1" applyFont="1" applyFill="1" applyBorder="1" applyAlignment="1">
      <alignment horizontal="left"/>
    </xf>
    <xf numFmtId="165" fontId="5" fillId="27" borderId="46" xfId="3" applyNumberFormat="1" applyFont="1" applyFill="1" applyBorder="1" applyAlignment="1">
      <alignment horizontal="left"/>
    </xf>
    <xf numFmtId="165" fontId="13" fillId="34" borderId="47" xfId="3" applyNumberFormat="1" applyFont="1" applyFill="1" applyBorder="1" applyAlignment="1">
      <alignment horizontal="center"/>
    </xf>
    <xf numFmtId="165" fontId="5" fillId="34" borderId="48" xfId="3" applyNumberFormat="1" applyFont="1" applyFill="1" applyBorder="1" applyAlignment="1">
      <alignment horizontal="center"/>
    </xf>
    <xf numFmtId="165" fontId="5" fillId="27" borderId="48" xfId="3" applyNumberFormat="1" applyFont="1" applyFill="1" applyBorder="1" applyAlignment="1">
      <alignment horizontal="center"/>
    </xf>
    <xf numFmtId="165" fontId="5" fillId="27" borderId="47" xfId="3" applyNumberFormat="1" applyFont="1" applyFill="1" applyBorder="1" applyAlignment="1">
      <alignment horizontal="center"/>
    </xf>
    <xf numFmtId="165" fontId="5" fillId="34" borderId="44" xfId="3" applyNumberFormat="1" applyFont="1" applyFill="1" applyBorder="1" applyAlignment="1">
      <alignment horizontal="center"/>
    </xf>
    <xf numFmtId="165" fontId="5" fillId="34" borderId="47" xfId="3" applyNumberFormat="1" applyFont="1" applyFill="1" applyBorder="1" applyAlignment="1">
      <alignment horizontal="center"/>
    </xf>
    <xf numFmtId="165" fontId="5" fillId="27" borderId="44" xfId="3" applyNumberFormat="1" applyFont="1" applyFill="1" applyBorder="1" applyAlignment="1">
      <alignment horizontal="center"/>
    </xf>
    <xf numFmtId="0" fontId="5" fillId="0" borderId="3" xfId="3" applyFont="1"/>
    <xf numFmtId="0" fontId="5" fillId="34" borderId="21" xfId="3" applyFont="1" applyFill="1" applyBorder="1" applyAlignment="1">
      <alignment horizontal="center"/>
    </xf>
    <xf numFmtId="165" fontId="5" fillId="34" borderId="30" xfId="3" applyNumberFormat="1" applyFont="1" applyFill="1" applyBorder="1" applyAlignment="1">
      <alignment horizontal="left" indent="3"/>
    </xf>
    <xf numFmtId="0" fontId="5" fillId="34" borderId="3" xfId="3" applyFont="1" applyFill="1" applyBorder="1"/>
    <xf numFmtId="0" fontId="5" fillId="24" borderId="3" xfId="3" applyFont="1" applyFill="1"/>
    <xf numFmtId="0" fontId="5" fillId="34" borderId="39" xfId="3" applyFont="1" applyFill="1" applyBorder="1" applyAlignment="1">
      <alignment horizontal="center"/>
    </xf>
    <xf numFmtId="165" fontId="5" fillId="34" borderId="40" xfId="3" applyNumberFormat="1" applyFont="1" applyFill="1" applyBorder="1" applyAlignment="1">
      <alignment horizontal="left" indent="3"/>
    </xf>
    <xf numFmtId="165" fontId="5" fillId="34" borderId="39" xfId="3" applyNumberFormat="1" applyFont="1" applyFill="1" applyBorder="1" applyAlignment="1">
      <alignment horizontal="center"/>
    </xf>
    <xf numFmtId="165" fontId="5" fillId="34" borderId="41" xfId="3" applyNumberFormat="1" applyFont="1" applyFill="1" applyBorder="1" applyAlignment="1">
      <alignment horizontal="center"/>
    </xf>
    <xf numFmtId="165" fontId="5" fillId="34" borderId="42" xfId="3" applyNumberFormat="1" applyFont="1" applyFill="1" applyBorder="1" applyAlignment="1">
      <alignment horizontal="center"/>
    </xf>
    <xf numFmtId="165" fontId="6" fillId="32" borderId="37" xfId="3" applyNumberFormat="1" applyFont="1" applyFill="1" applyBorder="1" applyAlignment="1">
      <alignment horizontal="center" wrapText="1"/>
    </xf>
    <xf numFmtId="165" fontId="6" fillId="34" borderId="30" xfId="3" applyNumberFormat="1" applyFont="1" applyFill="1" applyBorder="1" applyAlignment="1">
      <alignment horizontal="left"/>
    </xf>
    <xf numFmtId="165" fontId="27" fillId="31" borderId="21" xfId="3" applyNumberFormat="1" applyFont="1" applyFill="1" applyBorder="1" applyAlignment="1">
      <alignment horizontal="center"/>
    </xf>
    <xf numFmtId="165" fontId="27" fillId="31" borderId="3" xfId="3" applyNumberFormat="1" applyFont="1" applyFill="1" applyBorder="1" applyAlignment="1">
      <alignment horizontal="center"/>
    </xf>
    <xf numFmtId="165" fontId="27" fillId="31" borderId="22" xfId="3" applyNumberFormat="1" applyFont="1" applyFill="1" applyBorder="1" applyAlignment="1">
      <alignment horizontal="center"/>
    </xf>
    <xf numFmtId="165" fontId="5" fillId="35" borderId="22" xfId="3" applyNumberFormat="1" applyFont="1" applyFill="1" applyBorder="1" applyAlignment="1">
      <alignment horizontal="center"/>
    </xf>
    <xf numFmtId="165" fontId="27" fillId="31" borderId="39" xfId="3" applyNumberFormat="1" applyFont="1" applyFill="1" applyBorder="1" applyAlignment="1">
      <alignment horizontal="center"/>
    </xf>
    <xf numFmtId="165" fontId="27" fillId="31" borderId="41" xfId="3" applyNumberFormat="1" applyFont="1" applyFill="1" applyBorder="1" applyAlignment="1">
      <alignment horizontal="center"/>
    </xf>
    <xf numFmtId="165" fontId="27" fillId="31" borderId="42" xfId="3" applyNumberFormat="1" applyFont="1" applyFill="1" applyBorder="1" applyAlignment="1">
      <alignment horizontal="center"/>
    </xf>
    <xf numFmtId="165" fontId="5" fillId="35" borderId="39" xfId="3" applyNumberFormat="1" applyFont="1" applyFill="1" applyBorder="1" applyAlignment="1">
      <alignment horizontal="center"/>
    </xf>
    <xf numFmtId="165" fontId="27" fillId="37" borderId="39" xfId="3" applyNumberFormat="1" applyFont="1" applyFill="1" applyBorder="1" applyAlignment="1">
      <alignment horizontal="center"/>
    </xf>
    <xf numFmtId="165" fontId="27" fillId="37" borderId="41" xfId="3" applyNumberFormat="1" applyFont="1" applyFill="1" applyBorder="1" applyAlignment="1">
      <alignment horizontal="center"/>
    </xf>
    <xf numFmtId="165" fontId="27" fillId="37" borderId="42" xfId="3" applyNumberFormat="1" applyFont="1" applyFill="1" applyBorder="1" applyAlignment="1">
      <alignment horizontal="center"/>
    </xf>
    <xf numFmtId="0" fontId="5" fillId="34" borderId="3" xfId="3" applyFont="1" applyFill="1" applyBorder="1" applyAlignment="1">
      <alignment horizontal="center"/>
    </xf>
    <xf numFmtId="165" fontId="27" fillId="37" borderId="21" xfId="3" applyNumberFormat="1" applyFont="1" applyFill="1" applyBorder="1" applyAlignment="1">
      <alignment horizontal="center"/>
    </xf>
    <xf numFmtId="165" fontId="27" fillId="37" borderId="3" xfId="3" applyNumberFormat="1" applyFont="1" applyFill="1" applyBorder="1" applyAlignment="1">
      <alignment horizontal="center"/>
    </xf>
    <xf numFmtId="165" fontId="27" fillId="37" borderId="22" xfId="3" applyNumberFormat="1" applyFont="1" applyFill="1" applyBorder="1" applyAlignment="1">
      <alignment horizontal="center"/>
    </xf>
    <xf numFmtId="165" fontId="6" fillId="35" borderId="22" xfId="3" applyNumberFormat="1" applyFont="1" applyFill="1" applyBorder="1" applyAlignment="1">
      <alignment horizontal="center"/>
    </xf>
    <xf numFmtId="165" fontId="6" fillId="32" borderId="36" xfId="3" applyNumberFormat="1" applyFont="1" applyFill="1" applyBorder="1" applyAlignment="1">
      <alignment horizontal="left" wrapText="1"/>
    </xf>
    <xf numFmtId="165" fontId="6" fillId="32" borderId="36" xfId="3" applyNumberFormat="1" applyFont="1" applyFill="1" applyBorder="1" applyAlignment="1">
      <alignment horizontal="center" wrapText="1"/>
    </xf>
    <xf numFmtId="0" fontId="5" fillId="27" borderId="49" xfId="3" applyFont="1" applyFill="1" applyBorder="1" applyAlignment="1">
      <alignment horizontal="center"/>
    </xf>
    <xf numFmtId="165" fontId="5" fillId="33" borderId="48" xfId="3" applyNumberFormat="1" applyFont="1" applyFill="1" applyBorder="1" applyAlignment="1">
      <alignment horizontal="center"/>
    </xf>
    <xf numFmtId="165" fontId="5" fillId="33" borderId="47" xfId="3" applyNumberFormat="1" applyFont="1" applyFill="1" applyBorder="1" applyAlignment="1">
      <alignment horizontal="center"/>
    </xf>
    <xf numFmtId="0" fontId="5" fillId="27" borderId="50" xfId="3" applyFont="1" applyFill="1" applyBorder="1" applyAlignment="1">
      <alignment horizontal="center"/>
    </xf>
    <xf numFmtId="0" fontId="5" fillId="27" borderId="51" xfId="3" applyFont="1" applyFill="1" applyBorder="1" applyAlignment="1">
      <alignment horizontal="center"/>
    </xf>
    <xf numFmtId="165" fontId="5" fillId="33" borderId="44" xfId="3" applyNumberFormat="1" applyFont="1" applyFill="1" applyBorder="1" applyAlignment="1">
      <alignment horizontal="center"/>
    </xf>
    <xf numFmtId="0" fontId="5" fillId="27" borderId="41" xfId="3" applyFont="1" applyFill="1" applyBorder="1" applyAlignment="1">
      <alignment horizontal="center"/>
    </xf>
    <xf numFmtId="165" fontId="5" fillId="27" borderId="43" xfId="3" applyNumberFormat="1" applyFont="1" applyFill="1" applyBorder="1" applyAlignment="1">
      <alignment horizontal="right"/>
    </xf>
    <xf numFmtId="165" fontId="5" fillId="33" borderId="3" xfId="3" applyNumberFormat="1" applyFont="1" applyFill="1" applyBorder="1"/>
    <xf numFmtId="165" fontId="5" fillId="34" borderId="3" xfId="3" applyNumberFormat="1" applyFont="1" applyFill="1" applyBorder="1"/>
    <xf numFmtId="0" fontId="5" fillId="27" borderId="22" xfId="3" applyFont="1" applyFill="1" applyBorder="1"/>
    <xf numFmtId="0" fontId="5" fillId="27" borderId="53" xfId="3" applyFont="1" applyFill="1" applyBorder="1" applyAlignment="1">
      <alignment horizontal="center"/>
    </xf>
    <xf numFmtId="165" fontId="5" fillId="27" borderId="54" xfId="3" applyNumberFormat="1" applyFont="1" applyFill="1" applyBorder="1" applyAlignment="1">
      <alignment horizontal="left"/>
    </xf>
    <xf numFmtId="49" fontId="5" fillId="33" borderId="39" xfId="3" applyNumberFormat="1" applyFont="1" applyFill="1" applyBorder="1" applyAlignment="1">
      <alignment horizontal="center"/>
    </xf>
    <xf numFmtId="49" fontId="5" fillId="27" borderId="3" xfId="3" applyNumberFormat="1" applyFont="1" applyFill="1" applyBorder="1" applyAlignment="1">
      <alignment horizontal="center"/>
    </xf>
    <xf numFmtId="49" fontId="5" fillId="27" borderId="42" xfId="3" applyNumberFormat="1" applyFont="1" applyFill="1" applyBorder="1" applyAlignment="1">
      <alignment horizontal="center"/>
    </xf>
    <xf numFmtId="165" fontId="5" fillId="34" borderId="21" xfId="3" applyNumberFormat="1" applyFont="1" applyFill="1" applyBorder="1"/>
    <xf numFmtId="0" fontId="5" fillId="34" borderId="48" xfId="3" applyFont="1" applyFill="1" applyBorder="1"/>
    <xf numFmtId="0" fontId="5" fillId="27" borderId="48" xfId="3" applyFont="1" applyFill="1" applyBorder="1"/>
    <xf numFmtId="0" fontId="5" fillId="27" borderId="25" xfId="3" applyFont="1" applyFill="1" applyBorder="1" applyAlignment="1">
      <alignment horizontal="center"/>
    </xf>
    <xf numFmtId="165" fontId="5" fillId="27" borderId="55" xfId="3" applyNumberFormat="1" applyFont="1" applyFill="1" applyBorder="1" applyAlignment="1">
      <alignment horizontal="left" indent="3"/>
    </xf>
    <xf numFmtId="165" fontId="5" fillId="27" borderId="56" xfId="3" applyNumberFormat="1" applyFont="1" applyFill="1" applyBorder="1" applyAlignment="1">
      <alignment horizontal="left"/>
    </xf>
    <xf numFmtId="49" fontId="5" fillId="33" borderId="24" xfId="3" applyNumberFormat="1" applyFont="1" applyFill="1" applyBorder="1" applyAlignment="1">
      <alignment horizontal="center"/>
    </xf>
    <xf numFmtId="165" fontId="5" fillId="33" borderId="25" xfId="3" applyNumberFormat="1" applyFont="1" applyFill="1" applyBorder="1" applyAlignment="1">
      <alignment horizontal="center"/>
    </xf>
    <xf numFmtId="165" fontId="6" fillId="35" borderId="25" xfId="3" applyNumberFormat="1" applyFont="1" applyFill="1" applyBorder="1" applyAlignment="1">
      <alignment horizontal="center"/>
    </xf>
    <xf numFmtId="165" fontId="27" fillId="37" borderId="24" xfId="3" applyNumberFormat="1" applyFont="1" applyFill="1" applyBorder="1" applyAlignment="1">
      <alignment horizontal="center"/>
    </xf>
    <xf numFmtId="165" fontId="27" fillId="37" borderId="25" xfId="3" applyNumberFormat="1" applyFont="1" applyFill="1" applyBorder="1" applyAlignment="1">
      <alignment horizontal="center"/>
    </xf>
    <xf numFmtId="165" fontId="27" fillId="37" borderId="26" xfId="3" applyNumberFormat="1" applyFont="1" applyFill="1" applyBorder="1" applyAlignment="1">
      <alignment horizontal="center"/>
    </xf>
    <xf numFmtId="165" fontId="5" fillId="33" borderId="24" xfId="3" applyNumberFormat="1" applyFont="1" applyFill="1" applyBorder="1" applyAlignment="1">
      <alignment horizontal="center"/>
    </xf>
    <xf numFmtId="165" fontId="5" fillId="33" borderId="26" xfId="3" applyNumberFormat="1" applyFont="1" applyFill="1" applyBorder="1" applyAlignment="1">
      <alignment horizontal="center"/>
    </xf>
    <xf numFmtId="165" fontId="27" fillId="36" borderId="24" xfId="3" applyNumberFormat="1" applyFont="1" applyFill="1" applyBorder="1" applyAlignment="1">
      <alignment horizontal="center"/>
    </xf>
    <xf numFmtId="165" fontId="27" fillId="36" borderId="25" xfId="3" applyNumberFormat="1" applyFont="1" applyFill="1" applyBorder="1" applyAlignment="1">
      <alignment horizontal="center"/>
    </xf>
    <xf numFmtId="165" fontId="27" fillId="36" borderId="26" xfId="3" applyNumberFormat="1" applyFont="1" applyFill="1" applyBorder="1" applyAlignment="1">
      <alignment horizontal="center"/>
    </xf>
    <xf numFmtId="165" fontId="5" fillId="27" borderId="24" xfId="3" applyNumberFormat="1" applyFont="1" applyFill="1" applyBorder="1" applyAlignment="1">
      <alignment horizontal="center"/>
    </xf>
    <xf numFmtId="49" fontId="5" fillId="27" borderId="25" xfId="3" applyNumberFormat="1" applyFont="1" applyFill="1" applyBorder="1" applyAlignment="1">
      <alignment horizontal="center"/>
    </xf>
    <xf numFmtId="49" fontId="5" fillId="27" borderId="26" xfId="3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left" vertical="center" wrapText="1"/>
    </xf>
    <xf numFmtId="0" fontId="5" fillId="0" borderId="15" xfId="0" applyFont="1" applyBorder="1"/>
    <xf numFmtId="0" fontId="4" fillId="9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9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28" fillId="0" borderId="4" xfId="4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5" fillId="43" borderId="57" xfId="0" applyFont="1" applyFill="1" applyBorder="1" applyAlignment="1">
      <alignment wrapText="1"/>
    </xf>
    <xf numFmtId="0" fontId="5" fillId="42" borderId="59" xfId="0" applyFont="1" applyFill="1" applyBorder="1"/>
    <xf numFmtId="0" fontId="5" fillId="40" borderId="41" xfId="0" applyFont="1" applyFill="1" applyBorder="1"/>
    <xf numFmtId="0" fontId="5" fillId="41" borderId="41" xfId="0" applyFont="1" applyFill="1" applyBorder="1" applyAlignment="1">
      <alignment wrapText="1"/>
    </xf>
    <xf numFmtId="0" fontId="5" fillId="0" borderId="53" xfId="0" applyFont="1" applyBorder="1" applyAlignment="1">
      <alignment horizontal="left" wrapText="1"/>
    </xf>
    <xf numFmtId="0" fontId="5" fillId="0" borderId="48" xfId="0" applyFont="1" applyBorder="1" applyAlignment="1">
      <alignment wrapText="1"/>
    </xf>
    <xf numFmtId="0" fontId="5" fillId="0" borderId="58" xfId="0" applyFont="1" applyBorder="1" applyAlignment="1">
      <alignment wrapText="1"/>
    </xf>
    <xf numFmtId="9" fontId="5" fillId="0" borderId="4" xfId="0" applyNumberFormat="1" applyFont="1" applyFill="1" applyBorder="1" applyAlignment="1">
      <alignment horizontal="center" vertical="center"/>
    </xf>
    <xf numFmtId="0" fontId="5" fillId="39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6" fontId="5" fillId="0" borderId="4" xfId="0" applyNumberFormat="1" applyFont="1" applyFill="1" applyBorder="1" applyAlignment="1">
      <alignment horizontal="center" vertical="center"/>
    </xf>
    <xf numFmtId="9" fontId="5" fillId="13" borderId="4" xfId="0" applyNumberFormat="1" applyFont="1" applyFill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4" fontId="5" fillId="0" borderId="4" xfId="0" applyNumberFormat="1" applyFont="1" applyFill="1" applyBorder="1" applyAlignment="1">
      <alignment horizontal="center" vertical="center"/>
    </xf>
    <xf numFmtId="9" fontId="5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44" borderId="4" xfId="0" applyFont="1" applyFill="1" applyBorder="1"/>
    <xf numFmtId="166" fontId="30" fillId="0" borderId="3" xfId="1" applyNumberFormat="1" applyFont="1" applyAlignment="1">
      <alignment vertical="center"/>
    </xf>
    <xf numFmtId="167" fontId="30" fillId="0" borderId="3" xfId="1" applyNumberFormat="1" applyFont="1" applyAlignment="1">
      <alignment horizontal="right" vertical="center"/>
    </xf>
    <xf numFmtId="0" fontId="1" fillId="0" borderId="3" xfId="1"/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9" borderId="8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/>
    </xf>
    <xf numFmtId="0" fontId="4" fillId="9" borderId="10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4" fillId="9" borderId="11" xfId="0" applyFont="1" applyFill="1" applyBorder="1" applyAlignment="1">
      <alignment horizontal="left" vertical="center" wrapText="1"/>
    </xf>
    <xf numFmtId="0" fontId="4" fillId="9" borderId="12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left" vertical="center" wrapText="1"/>
    </xf>
    <xf numFmtId="0" fontId="5" fillId="39" borderId="60" xfId="0" applyFont="1" applyFill="1" applyBorder="1" applyAlignment="1">
      <alignment horizontal="center" vertical="center" wrapText="1"/>
    </xf>
    <xf numFmtId="0" fontId="5" fillId="39" borderId="61" xfId="0" applyFont="1" applyFill="1" applyBorder="1" applyAlignment="1">
      <alignment horizontal="center" vertical="center" wrapText="1"/>
    </xf>
    <xf numFmtId="0" fontId="6" fillId="44" borderId="60" xfId="0" applyFont="1" applyFill="1" applyBorder="1" applyAlignment="1">
      <alignment horizontal="center" vertical="center" wrapText="1"/>
    </xf>
    <xf numFmtId="0" fontId="6" fillId="44" borderId="62" xfId="0" applyFont="1" applyFill="1" applyBorder="1" applyAlignment="1">
      <alignment horizontal="center" vertical="center" wrapText="1"/>
    </xf>
    <xf numFmtId="0" fontId="6" fillId="44" borderId="6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wrapText="1"/>
    </xf>
    <xf numFmtId="0" fontId="6" fillId="44" borderId="4" xfId="0" applyFont="1" applyFill="1" applyBorder="1" applyAlignment="1">
      <alignment horizontal="center"/>
    </xf>
    <xf numFmtId="0" fontId="6" fillId="44" borderId="4" xfId="0" applyFont="1" applyFill="1" applyBorder="1" applyAlignment="1">
      <alignment horizontal="center" wrapText="1"/>
    </xf>
    <xf numFmtId="0" fontId="5" fillId="39" borderId="4" xfId="0" applyFont="1" applyFill="1" applyBorder="1" applyAlignment="1">
      <alignment horizontal="center" wrapText="1"/>
    </xf>
    <xf numFmtId="0" fontId="18" fillId="0" borderId="4" xfId="2" applyNumberFormat="1" applyFont="1" applyFill="1" applyBorder="1" applyAlignment="1">
      <alignment horizontal="left" vertical="top"/>
    </xf>
    <xf numFmtId="0" fontId="19" fillId="0" borderId="4" xfId="2" applyNumberFormat="1" applyFont="1" applyFill="1" applyBorder="1" applyAlignment="1">
      <alignment horizontal="left" vertical="top"/>
    </xf>
    <xf numFmtId="0" fontId="17" fillId="0" borderId="15" xfId="2" applyNumberFormat="1" applyFont="1" applyFill="1" applyBorder="1" applyAlignment="1">
      <alignment horizontal="center"/>
    </xf>
    <xf numFmtId="0" fontId="17" fillId="0" borderId="13" xfId="2" applyNumberFormat="1" applyFont="1" applyFill="1" applyBorder="1" applyAlignment="1">
      <alignment horizontal="center"/>
    </xf>
    <xf numFmtId="0" fontId="24" fillId="27" borderId="20" xfId="3" applyFont="1" applyFill="1" applyBorder="1" applyAlignment="1">
      <alignment horizontal="center"/>
    </xf>
    <xf numFmtId="165" fontId="6" fillId="32" borderId="28" xfId="3" applyNumberFormat="1" applyFont="1" applyFill="1" applyBorder="1" applyAlignment="1">
      <alignment horizontal="center"/>
    </xf>
    <xf numFmtId="165" fontId="6" fillId="32" borderId="29" xfId="3" applyNumberFormat="1" applyFont="1" applyFill="1" applyBorder="1" applyAlignment="1">
      <alignment horizontal="center"/>
    </xf>
    <xf numFmtId="165" fontId="25" fillId="32" borderId="36" xfId="3" applyNumberFormat="1" applyFont="1" applyFill="1" applyBorder="1" applyAlignment="1">
      <alignment horizontal="center" wrapText="1"/>
    </xf>
    <xf numFmtId="165" fontId="25" fillId="32" borderId="38" xfId="3" applyNumberFormat="1" applyFont="1" applyFill="1" applyBorder="1" applyAlignment="1">
      <alignment horizontal="center" wrapText="1"/>
    </xf>
    <xf numFmtId="165" fontId="25" fillId="32" borderId="37" xfId="3" applyNumberFormat="1" applyFont="1" applyFill="1" applyBorder="1" applyAlignment="1">
      <alignment horizontal="center" wrapText="1"/>
    </xf>
    <xf numFmtId="165" fontId="27" fillId="36" borderId="41" xfId="3" applyNumberFormat="1" applyFont="1" applyFill="1" applyBorder="1" applyAlignment="1">
      <alignment horizontal="center"/>
    </xf>
    <xf numFmtId="165" fontId="27" fillId="36" borderId="42" xfId="3" applyNumberFormat="1" applyFont="1" applyFill="1" applyBorder="1" applyAlignment="1">
      <alignment horizontal="center"/>
    </xf>
    <xf numFmtId="165" fontId="5" fillId="27" borderId="52" xfId="3" applyNumberFormat="1" applyFont="1" applyFill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4" fillId="9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3" xfId="2"/>
    <cellStyle name="Normal 4" xfId="3"/>
  </cellStyles>
  <dxfs count="39">
    <dxf>
      <font>
        <strike val="0"/>
      </font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Medium4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22</xdr:row>
      <xdr:rowOff>83820</xdr:rowOff>
    </xdr:to>
    <xdr:sp macro="" textlink="">
      <xdr:nvSpPr>
        <xdr:cNvPr id="1043" name="Rectangle 19" hidden="1"/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2819400</xdr:colOff>
      <xdr:row>28</xdr:row>
      <xdr:rowOff>213360</xdr:rowOff>
    </xdr:to>
    <xdr:sp macro="" textlink="">
      <xdr:nvSpPr>
        <xdr:cNvPr id="2050" name="Rectangle 2" hidden="1"/>
        <xdr:cNvSpPr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638175</xdr:colOff>
      <xdr:row>53</xdr:row>
      <xdr:rowOff>123825</xdr:rowOff>
    </xdr:to>
    <xdr:sp macro="" textlink="">
      <xdr:nvSpPr>
        <xdr:cNvPr id="2" name="AutoShape 5"/>
        <xdr:cNvSpPr>
          <a:spLocks noChangeArrowheads="1"/>
        </xdr:cNvSpPr>
      </xdr:nvSpPr>
      <xdr:spPr bwMode="auto">
        <a:xfrm>
          <a:off x="0" y="0"/>
          <a:ext cx="8319135" cy="8503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53</xdr:row>
      <xdr:rowOff>123825</xdr:rowOff>
    </xdr:to>
    <xdr:sp macro="" textlink="">
      <xdr:nvSpPr>
        <xdr:cNvPr id="3" name="AutoShape 4"/>
        <xdr:cNvSpPr>
          <a:spLocks noChangeArrowheads="1"/>
        </xdr:cNvSpPr>
      </xdr:nvSpPr>
      <xdr:spPr bwMode="auto">
        <a:xfrm>
          <a:off x="0" y="0"/>
          <a:ext cx="8319135" cy="850392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4" name="AutoShape 5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5" name="AutoShape 4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6" name="AutoShape 5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7" name="AutoShape 4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58</xdr:row>
      <xdr:rowOff>123825</xdr:rowOff>
    </xdr:to>
    <xdr:sp macro="" textlink="">
      <xdr:nvSpPr>
        <xdr:cNvPr id="8" name="AutoShape 5"/>
        <xdr:cNvSpPr>
          <a:spLocks noChangeArrowheads="1"/>
        </xdr:cNvSpPr>
      </xdr:nvSpPr>
      <xdr:spPr bwMode="auto">
        <a:xfrm>
          <a:off x="0" y="0"/>
          <a:ext cx="8319135" cy="9267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58</xdr:row>
      <xdr:rowOff>123825</xdr:rowOff>
    </xdr:to>
    <xdr:sp macro="" textlink="">
      <xdr:nvSpPr>
        <xdr:cNvPr id="9" name="AutoShape 4"/>
        <xdr:cNvSpPr>
          <a:spLocks noChangeArrowheads="1"/>
        </xdr:cNvSpPr>
      </xdr:nvSpPr>
      <xdr:spPr bwMode="auto">
        <a:xfrm>
          <a:off x="0" y="0"/>
          <a:ext cx="8319135" cy="9267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58</xdr:row>
      <xdr:rowOff>123825</xdr:rowOff>
    </xdr:to>
    <xdr:sp macro="" textlink="">
      <xdr:nvSpPr>
        <xdr:cNvPr id="10" name="AutoShape 5"/>
        <xdr:cNvSpPr>
          <a:spLocks noChangeArrowheads="1"/>
        </xdr:cNvSpPr>
      </xdr:nvSpPr>
      <xdr:spPr bwMode="auto">
        <a:xfrm>
          <a:off x="0" y="0"/>
          <a:ext cx="8319135" cy="9267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58</xdr:row>
      <xdr:rowOff>123825</xdr:rowOff>
    </xdr:to>
    <xdr:sp macro="" textlink="">
      <xdr:nvSpPr>
        <xdr:cNvPr id="11" name="AutoShape 4"/>
        <xdr:cNvSpPr>
          <a:spLocks noChangeArrowheads="1"/>
        </xdr:cNvSpPr>
      </xdr:nvSpPr>
      <xdr:spPr bwMode="auto">
        <a:xfrm>
          <a:off x="0" y="0"/>
          <a:ext cx="8319135" cy="9267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58</xdr:row>
      <xdr:rowOff>123825</xdr:rowOff>
    </xdr:to>
    <xdr:sp macro="" textlink="">
      <xdr:nvSpPr>
        <xdr:cNvPr id="12" name="AutoShape 5"/>
        <xdr:cNvSpPr>
          <a:spLocks noChangeArrowheads="1"/>
        </xdr:cNvSpPr>
      </xdr:nvSpPr>
      <xdr:spPr bwMode="auto">
        <a:xfrm>
          <a:off x="0" y="0"/>
          <a:ext cx="8319135" cy="9267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58</xdr:row>
      <xdr:rowOff>123825</xdr:rowOff>
    </xdr:to>
    <xdr:sp macro="" textlink="">
      <xdr:nvSpPr>
        <xdr:cNvPr id="13" name="AutoShape 4"/>
        <xdr:cNvSpPr>
          <a:spLocks noChangeArrowheads="1"/>
        </xdr:cNvSpPr>
      </xdr:nvSpPr>
      <xdr:spPr bwMode="auto">
        <a:xfrm>
          <a:off x="0" y="0"/>
          <a:ext cx="8319135" cy="92678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14" name="AutoShape 5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15" name="AutoShape 4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16" name="AutoShape 5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17" name="AutoShape 4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18" name="AutoShape 5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19" name="AutoShape 4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20" name="AutoShape 5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21" name="AutoShape 4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22" name="AutoShape 5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23" name="AutoShape 4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24" name="AutoShape 5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55</xdr:row>
      <xdr:rowOff>123825</xdr:rowOff>
    </xdr:to>
    <xdr:sp macro="" textlink="">
      <xdr:nvSpPr>
        <xdr:cNvPr id="25" name="AutoShape 4"/>
        <xdr:cNvSpPr>
          <a:spLocks noChangeArrowheads="1"/>
        </xdr:cNvSpPr>
      </xdr:nvSpPr>
      <xdr:spPr bwMode="auto">
        <a:xfrm>
          <a:off x="0" y="0"/>
          <a:ext cx="8319135" cy="878776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50</xdr:row>
      <xdr:rowOff>123825</xdr:rowOff>
    </xdr:to>
    <xdr:sp macro="" textlink="">
      <xdr:nvSpPr>
        <xdr:cNvPr id="26" name="AutoShape 5"/>
        <xdr:cNvSpPr>
          <a:spLocks noChangeArrowheads="1"/>
        </xdr:cNvSpPr>
      </xdr:nvSpPr>
      <xdr:spPr bwMode="auto">
        <a:xfrm>
          <a:off x="0" y="0"/>
          <a:ext cx="8319135" cy="850392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50</xdr:row>
      <xdr:rowOff>123825</xdr:rowOff>
    </xdr:to>
    <xdr:sp macro="" textlink="">
      <xdr:nvSpPr>
        <xdr:cNvPr id="27" name="AutoShape 4"/>
        <xdr:cNvSpPr>
          <a:spLocks noChangeArrowheads="1"/>
        </xdr:cNvSpPr>
      </xdr:nvSpPr>
      <xdr:spPr bwMode="auto">
        <a:xfrm>
          <a:off x="0" y="0"/>
          <a:ext cx="8319135" cy="850392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52</xdr:row>
      <xdr:rowOff>123825</xdr:rowOff>
    </xdr:to>
    <xdr:sp macro="" textlink="">
      <xdr:nvSpPr>
        <xdr:cNvPr id="28" name="AutoShape 5"/>
        <xdr:cNvSpPr>
          <a:spLocks noChangeArrowheads="1"/>
        </xdr:cNvSpPr>
      </xdr:nvSpPr>
      <xdr:spPr bwMode="auto">
        <a:xfrm>
          <a:off x="0" y="0"/>
          <a:ext cx="8319135" cy="850392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638175</xdr:colOff>
      <xdr:row>52</xdr:row>
      <xdr:rowOff>123825</xdr:rowOff>
    </xdr:to>
    <xdr:sp macro="" textlink="">
      <xdr:nvSpPr>
        <xdr:cNvPr id="29" name="AutoShape 4"/>
        <xdr:cNvSpPr>
          <a:spLocks noChangeArrowheads="1"/>
        </xdr:cNvSpPr>
      </xdr:nvSpPr>
      <xdr:spPr bwMode="auto">
        <a:xfrm>
          <a:off x="0" y="0"/>
          <a:ext cx="8319135" cy="850392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help.modeln.com/GCS/COE/00_Methodology_Description%2F%2FGoals/04_Phase_Detail/03_Construction" TargetMode="External"/><Relationship Id="rId2" Type="http://schemas.openxmlformats.org/officeDocument/2006/relationships/hyperlink" Target="https://help.modeln.com/GCS/COE/00_Methodology_Description%2F%2FGoals/04_Phase_Detail/02_Elaboration" TargetMode="External"/><Relationship Id="rId1" Type="http://schemas.openxmlformats.org/officeDocument/2006/relationships/hyperlink" Target="https://help.modeln.com/GCS/COE/00_Methodology_Description%2F%2FGoals/04_Phase_Detail/01_Inception" TargetMode="External"/><Relationship Id="rId5" Type="http://schemas.openxmlformats.org/officeDocument/2006/relationships/hyperlink" Target="https://help.modeln.com/GCS/COE/00_Methodology_Description%2F%2FGoals/04_Phase_Detail/05_Transition" TargetMode="External"/><Relationship Id="rId4" Type="http://schemas.openxmlformats.org/officeDocument/2006/relationships/hyperlink" Target="https://help.modeln.com/GCS/COE/00_Methodology_Description%2F%2FGoals/04_Phase_Detail/04_Verificatio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IqfPYkwpCG2Hl-DB3Epz2dkyLUz88WBPxUGMvqc1pgo/edit" TargetMode="External"/><Relationship Id="rId2" Type="http://schemas.openxmlformats.org/officeDocument/2006/relationships/hyperlink" Target="https://docs.google.com/spreadsheets/d/1Dzc38SsChflUlMuoyMx-PJ9eBdZzrp8QuYT2FyPqgmk/edit" TargetMode="External"/><Relationship Id="rId1" Type="http://schemas.openxmlformats.org/officeDocument/2006/relationships/hyperlink" Target="https://docs.google.com/document/d/1LVhTXTr02o81jeJLM3ACIaCS2d3mfZgI4Gi30twXk0k/edit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docs.google.com/spreadsheets/d/1WFuMCOkp6aLDNwCY6z9fBtBaxLUuuXsMmMrTDn1SbXM/edit" TargetMode="External"/><Relationship Id="rId4" Type="http://schemas.openxmlformats.org/officeDocument/2006/relationships/hyperlink" Target="https://docs.google.com/spreadsheets/d/1kwzuuAq9oIgwb--OPJ233eMRvT22ROWGxEgqkf9AwwE/edit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11"/>
  <sheetViews>
    <sheetView workbookViewId="0">
      <selection activeCell="B13" sqref="B13"/>
    </sheetView>
  </sheetViews>
  <sheetFormatPr defaultColWidth="14.42578125" defaultRowHeight="18" customHeight="1" x14ac:dyDescent="0.2"/>
  <cols>
    <col min="1" max="1" width="27.5703125" style="2" bestFit="1" customWidth="1"/>
    <col min="2" max="2" width="29.7109375" style="2" customWidth="1"/>
    <col min="3" max="3" width="27.5703125" style="2" bestFit="1" customWidth="1"/>
    <col min="4" max="4" width="23.7109375" style="2" customWidth="1"/>
    <col min="5" max="16384" width="14.42578125" style="2"/>
  </cols>
  <sheetData>
    <row r="1" spans="1:4" ht="12.75" x14ac:dyDescent="0.2">
      <c r="A1" s="307" t="s">
        <v>0</v>
      </c>
      <c r="B1" s="308"/>
      <c r="C1" s="308"/>
      <c r="D1" s="308"/>
    </row>
    <row r="2" spans="1:4" ht="18" customHeight="1" x14ac:dyDescent="0.2">
      <c r="A2" s="54" t="s">
        <v>240</v>
      </c>
      <c r="B2" s="53"/>
      <c r="C2" s="54" t="s">
        <v>1</v>
      </c>
      <c r="D2" s="53"/>
    </row>
    <row r="3" spans="1:4" ht="18" customHeight="1" x14ac:dyDescent="0.2">
      <c r="A3" s="54" t="s">
        <v>356</v>
      </c>
      <c r="B3" s="53"/>
      <c r="C3" s="54" t="s">
        <v>354</v>
      </c>
      <c r="D3" s="53"/>
    </row>
    <row r="4" spans="1:4" ht="18" customHeight="1" x14ac:dyDescent="0.2">
      <c r="A4" s="54" t="s">
        <v>357</v>
      </c>
      <c r="B4" s="53"/>
      <c r="C4" s="54" t="s">
        <v>342</v>
      </c>
      <c r="D4" s="53"/>
    </row>
    <row r="5" spans="1:4" ht="18" customHeight="1" x14ac:dyDescent="0.2">
      <c r="A5" s="54" t="s">
        <v>358</v>
      </c>
      <c r="B5" s="53"/>
      <c r="C5" s="54" t="s">
        <v>341</v>
      </c>
      <c r="D5" s="53"/>
    </row>
    <row r="6" spans="1:4" ht="18" customHeight="1" x14ac:dyDescent="0.2">
      <c r="A6" s="54" t="s">
        <v>359</v>
      </c>
      <c r="B6" s="53"/>
      <c r="C6" s="54" t="s">
        <v>2</v>
      </c>
      <c r="D6" s="1"/>
    </row>
    <row r="7" spans="1:4" ht="18" customHeight="1" x14ac:dyDescent="0.2">
      <c r="A7" s="54" t="s">
        <v>363</v>
      </c>
      <c r="B7" s="53"/>
      <c r="C7" s="54" t="s">
        <v>5</v>
      </c>
      <c r="D7" s="53"/>
    </row>
    <row r="8" spans="1:4" ht="18" customHeight="1" x14ac:dyDescent="0.2">
      <c r="A8" s="54" t="s">
        <v>360</v>
      </c>
      <c r="B8" s="53"/>
      <c r="C8" s="54" t="s">
        <v>6</v>
      </c>
      <c r="D8" s="53"/>
    </row>
    <row r="9" spans="1:4" ht="18" customHeight="1" x14ac:dyDescent="0.2">
      <c r="A9" s="54" t="s">
        <v>361</v>
      </c>
      <c r="B9" s="53"/>
      <c r="C9" s="54" t="s">
        <v>353</v>
      </c>
      <c r="D9" s="53"/>
    </row>
    <row r="10" spans="1:4" ht="18" customHeight="1" x14ac:dyDescent="0.2">
      <c r="A10" s="54" t="s">
        <v>362</v>
      </c>
      <c r="B10" s="53"/>
      <c r="C10" s="54" t="s">
        <v>364</v>
      </c>
      <c r="D10" s="53"/>
    </row>
    <row r="11" spans="1:4" ht="18" customHeight="1" x14ac:dyDescent="0.2">
      <c r="A11" s="55" t="s">
        <v>387</v>
      </c>
      <c r="B11" s="309"/>
      <c r="C11" s="309"/>
      <c r="D11" s="309"/>
    </row>
  </sheetData>
  <mergeCells count="2">
    <mergeCell ref="A1:D1"/>
    <mergeCell ref="B11:D11"/>
  </mergeCells>
  <dataValidations count="1">
    <dataValidation type="list" sqref="D6">
      <formula1>"Agile,eNterprise,eXpress,RMaaS,Standard Upgrade,Enhancement,Support,Other"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I11"/>
  <sheetViews>
    <sheetView workbookViewId="0">
      <selection activeCell="A2" sqref="A2"/>
    </sheetView>
  </sheetViews>
  <sheetFormatPr defaultColWidth="14.42578125" defaultRowHeight="12.75" x14ac:dyDescent="0.2"/>
  <cols>
    <col min="1" max="1" width="18.42578125" style="2" customWidth="1"/>
    <col min="2" max="2" width="21.28515625" style="2" customWidth="1"/>
    <col min="3" max="3" width="16.5703125" style="2" customWidth="1"/>
    <col min="4" max="4" width="16.7109375" style="2" customWidth="1"/>
    <col min="5" max="5" width="17.140625" style="2" customWidth="1"/>
    <col min="6" max="6" width="26.5703125" style="2" customWidth="1"/>
    <col min="7" max="7" width="14.42578125" style="2"/>
    <col min="8" max="9" width="0" style="2" hidden="1" customWidth="1"/>
    <col min="10" max="16384" width="14.42578125" style="2"/>
  </cols>
  <sheetData>
    <row r="1" spans="1:9" x14ac:dyDescent="0.2">
      <c r="A1" s="310" t="s">
        <v>0</v>
      </c>
      <c r="B1" s="311"/>
      <c r="C1" s="311"/>
      <c r="D1" s="311"/>
      <c r="E1" s="311"/>
      <c r="F1" s="311"/>
    </row>
    <row r="2" spans="1:9" ht="25.9" customHeight="1" x14ac:dyDescent="0.2">
      <c r="A2" s="3" t="s">
        <v>355</v>
      </c>
      <c r="B2" s="4"/>
      <c r="C2" s="3" t="s">
        <v>3</v>
      </c>
      <c r="D2" s="4"/>
      <c r="E2" s="3" t="s">
        <v>381</v>
      </c>
      <c r="F2" s="4"/>
    </row>
    <row r="3" spans="1:9" ht="25.9" customHeight="1" x14ac:dyDescent="0.2">
      <c r="A3" s="3" t="s">
        <v>7</v>
      </c>
      <c r="B3" s="314"/>
      <c r="C3" s="314"/>
      <c r="D3" s="306">
        <f>$I$4</f>
        <v>1</v>
      </c>
      <c r="E3" s="5" t="s">
        <v>4</v>
      </c>
      <c r="F3" s="6"/>
      <c r="H3" s="2" t="s">
        <v>760</v>
      </c>
      <c r="I3" s="304">
        <f>SUM(D5:D11)</f>
        <v>7</v>
      </c>
    </row>
    <row r="4" spans="1:9" ht="13.9" customHeight="1" x14ac:dyDescent="0.2">
      <c r="A4" s="315" t="s">
        <v>389</v>
      </c>
      <c r="B4" s="316"/>
      <c r="C4" s="316"/>
      <c r="D4" s="317"/>
      <c r="E4" s="312" t="s">
        <v>390</v>
      </c>
      <c r="F4" s="313"/>
      <c r="H4" s="2" t="s">
        <v>761</v>
      </c>
      <c r="I4" s="305">
        <f>IF(COUNTIF($D$5:$D$11,-1),-1,IF(OR($I$3=6,$I$3&gt;6),1,IF(OR($I$3=5,$I$3=4),0,-1)))</f>
        <v>1</v>
      </c>
    </row>
    <row r="5" spans="1:9" ht="28.15" customHeight="1" x14ac:dyDescent="0.2">
      <c r="A5" s="9" t="s">
        <v>8</v>
      </c>
      <c r="B5" s="314"/>
      <c r="C5" s="314"/>
      <c r="D5" s="10">
        <v>1</v>
      </c>
      <c r="E5" s="314"/>
      <c r="F5" s="314"/>
    </row>
    <row r="6" spans="1:9" ht="28.15" customHeight="1" x14ac:dyDescent="0.2">
      <c r="A6" s="3" t="s">
        <v>9</v>
      </c>
      <c r="B6" s="314"/>
      <c r="C6" s="314"/>
      <c r="D6" s="10">
        <v>1</v>
      </c>
      <c r="E6" s="314"/>
      <c r="F6" s="314"/>
    </row>
    <row r="7" spans="1:9" ht="28.15" customHeight="1" x14ac:dyDescent="0.2">
      <c r="A7" s="3" t="s">
        <v>10</v>
      </c>
      <c r="B7" s="314"/>
      <c r="C7" s="314"/>
      <c r="D7" s="10">
        <v>1</v>
      </c>
      <c r="E7" s="314"/>
      <c r="F7" s="314"/>
    </row>
    <row r="8" spans="1:9" ht="28.15" customHeight="1" x14ac:dyDescent="0.2">
      <c r="A8" s="3" t="s">
        <v>11</v>
      </c>
      <c r="B8" s="314"/>
      <c r="C8" s="314"/>
      <c r="D8" s="10">
        <v>1</v>
      </c>
      <c r="E8" s="314"/>
      <c r="F8" s="314"/>
    </row>
    <row r="9" spans="1:9" ht="28.15" customHeight="1" x14ac:dyDescent="0.2">
      <c r="A9" s="3" t="s">
        <v>12</v>
      </c>
      <c r="B9" s="314"/>
      <c r="C9" s="314"/>
      <c r="D9" s="10">
        <v>1</v>
      </c>
      <c r="E9" s="314"/>
      <c r="F9" s="314"/>
    </row>
    <row r="10" spans="1:9" ht="28.15" customHeight="1" x14ac:dyDescent="0.2">
      <c r="A10" s="3" t="s">
        <v>13</v>
      </c>
      <c r="B10" s="314"/>
      <c r="C10" s="314"/>
      <c r="D10" s="10">
        <v>1</v>
      </c>
      <c r="E10" s="314"/>
      <c r="F10" s="314"/>
    </row>
    <row r="11" spans="1:9" ht="28.15" customHeight="1" x14ac:dyDescent="0.2">
      <c r="A11" s="3" t="s">
        <v>14</v>
      </c>
      <c r="B11" s="314"/>
      <c r="C11" s="314"/>
      <c r="D11" s="10">
        <v>1</v>
      </c>
      <c r="E11" s="314"/>
      <c r="F11" s="314"/>
    </row>
  </sheetData>
  <mergeCells count="18">
    <mergeCell ref="B8:C8"/>
    <mergeCell ref="B7:C7"/>
    <mergeCell ref="E10:F10"/>
    <mergeCell ref="E11:F11"/>
    <mergeCell ref="E8:F8"/>
    <mergeCell ref="E9:F9"/>
    <mergeCell ref="B10:C10"/>
    <mergeCell ref="B11:C11"/>
    <mergeCell ref="B9:C9"/>
    <mergeCell ref="A1:F1"/>
    <mergeCell ref="E4:F4"/>
    <mergeCell ref="E5:F5"/>
    <mergeCell ref="E6:F6"/>
    <mergeCell ref="E7:F7"/>
    <mergeCell ref="B3:C3"/>
    <mergeCell ref="B5:C5"/>
    <mergeCell ref="B6:C6"/>
    <mergeCell ref="A4:D4"/>
  </mergeCells>
  <conditionalFormatting sqref="D5:D11">
    <cfRule type="iconSet" priority="3">
      <iconSet iconSet="3Signs" showValue="0">
        <cfvo type="percent" val="0"/>
        <cfvo type="num" val="-0.1" gte="0"/>
        <cfvo type="num" val="1"/>
      </iconSet>
    </cfRule>
  </conditionalFormatting>
  <conditionalFormatting sqref="D3">
    <cfRule type="iconSet" priority="1">
      <iconSet iconSet="3Signs" showValue="0">
        <cfvo type="percent" val="0"/>
        <cfvo type="num" val="-0.1" gte="0"/>
        <cfvo type="num" val="1"/>
      </iconSet>
    </cfRule>
  </conditionalFormatting>
  <dataValidations count="4">
    <dataValidation type="list" showErrorMessage="1" sqref="F3">
      <formula1>"Inception,Elaboration,Construction,Verification,Transition,Support"</formula1>
    </dataValidation>
    <dataValidation type="list" allowBlank="1" showInputMessage="1" showErrorMessage="1" sqref="D5:D11">
      <formula1>Status</formula1>
    </dataValidation>
    <dataValidation type="textLength" operator="lessThan" showErrorMessage="1" errorTitle="Text Length" error="The text length is too long, please make status more concise" sqref="B5:C11 E5:F11">
      <formula1>350</formula1>
    </dataValidation>
    <dataValidation type="textLength" operator="lessThan" showErrorMessage="1" errorTitle="Text Length" error="The text length is too long, please make status more concise" sqref="B3:C3">
      <formula1>150</formula1>
    </dataValidation>
  </dataValidation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32"/>
  <sheetViews>
    <sheetView workbookViewId="0">
      <pane ySplit="1" topLeftCell="A2" activePane="bottomLeft" state="frozen"/>
      <selection activeCell="G19" sqref="G19"/>
      <selection pane="bottomLeft" activeCell="B4" sqref="B4"/>
    </sheetView>
  </sheetViews>
  <sheetFormatPr defaultColWidth="14.42578125" defaultRowHeight="12.75" x14ac:dyDescent="0.2"/>
  <cols>
    <col min="1" max="1" width="27.28515625" style="2" bestFit="1" customWidth="1"/>
    <col min="2" max="2" width="11.28515625" style="2" customWidth="1"/>
    <col min="3" max="3" width="14.28515625" style="2" customWidth="1"/>
    <col min="4" max="4" width="10.85546875" style="2" customWidth="1"/>
    <col min="5" max="5" width="10.42578125" style="2" bestFit="1" customWidth="1"/>
    <col min="6" max="6" width="13.85546875" style="2" customWidth="1"/>
    <col min="7" max="7" width="34.28515625" style="2" customWidth="1"/>
    <col min="8" max="16384" width="14.42578125" style="2"/>
  </cols>
  <sheetData>
    <row r="1" spans="1:7" ht="25.5" x14ac:dyDescent="0.2">
      <c r="A1" s="52" t="s">
        <v>16</v>
      </c>
      <c r="B1" s="46" t="s">
        <v>17</v>
      </c>
      <c r="C1" s="46" t="s">
        <v>18</v>
      </c>
      <c r="D1" s="46" t="s">
        <v>19</v>
      </c>
      <c r="E1" s="46" t="s">
        <v>20</v>
      </c>
      <c r="F1" s="46" t="s">
        <v>21</v>
      </c>
      <c r="G1" s="52" t="s">
        <v>22</v>
      </c>
    </row>
    <row r="2" spans="1:7" x14ac:dyDescent="0.2">
      <c r="A2" s="11" t="s">
        <v>23</v>
      </c>
      <c r="B2" s="11"/>
      <c r="C2" s="11"/>
      <c r="D2" s="11"/>
      <c r="E2" s="11"/>
      <c r="F2" s="11"/>
      <c r="G2" s="12"/>
    </row>
    <row r="3" spans="1:7" x14ac:dyDescent="0.2">
      <c r="A3" s="11" t="s">
        <v>24</v>
      </c>
      <c r="B3" s="12"/>
      <c r="C3" s="12"/>
      <c r="D3" s="12"/>
      <c r="E3" s="12"/>
      <c r="F3" s="12"/>
      <c r="G3" s="12"/>
    </row>
    <row r="4" spans="1:7" x14ac:dyDescent="0.2">
      <c r="A4" s="11" t="s">
        <v>25</v>
      </c>
      <c r="B4" s="12"/>
      <c r="C4" s="12"/>
      <c r="D4" s="12"/>
      <c r="E4" s="12"/>
      <c r="F4" s="12"/>
      <c r="G4" s="12"/>
    </row>
    <row r="5" spans="1:7" x14ac:dyDescent="0.2">
      <c r="A5" s="13" t="str">
        <f>HYPERLINK("https://help.modeln.com/GCS/COE/00_Methodology_Description%2F%2FGoals/04_Phase_Detail/01_Inception","Inception Gate Review")</f>
        <v>Inception Gate Review</v>
      </c>
      <c r="B5" s="14"/>
      <c r="C5" s="14"/>
      <c r="D5" s="14"/>
      <c r="E5" s="14"/>
      <c r="F5" s="14"/>
      <c r="G5" s="14"/>
    </row>
    <row r="6" spans="1:7" x14ac:dyDescent="0.2">
      <c r="A6" s="11" t="s">
        <v>26</v>
      </c>
      <c r="B6" s="12"/>
      <c r="C6" s="12"/>
      <c r="D6" s="12"/>
      <c r="E6" s="12"/>
      <c r="F6" s="12"/>
      <c r="G6" s="12"/>
    </row>
    <row r="7" spans="1:7" x14ac:dyDescent="0.2">
      <c r="A7" s="11" t="s">
        <v>27</v>
      </c>
      <c r="B7" s="12"/>
      <c r="C7" s="12"/>
      <c r="D7" s="12"/>
      <c r="E7" s="12"/>
      <c r="F7" s="12"/>
      <c r="G7" s="12"/>
    </row>
    <row r="8" spans="1:7" x14ac:dyDescent="0.2">
      <c r="A8" s="11" t="s">
        <v>710</v>
      </c>
      <c r="B8" s="12"/>
      <c r="C8" s="12"/>
      <c r="D8" s="12"/>
      <c r="E8" s="12"/>
      <c r="F8" s="12"/>
      <c r="G8" s="12"/>
    </row>
    <row r="9" spans="1:7" x14ac:dyDescent="0.2">
      <c r="A9" s="11" t="s">
        <v>386</v>
      </c>
      <c r="B9" s="12"/>
      <c r="C9" s="12"/>
      <c r="D9" s="12"/>
      <c r="E9" s="12"/>
      <c r="F9" s="12"/>
      <c r="G9" s="12"/>
    </row>
    <row r="10" spans="1:7" x14ac:dyDescent="0.2">
      <c r="A10" s="13" t="str">
        <f>HYPERLINK("https://help.modeln.com/GCS/COE/00_Methodology_Description%2F%2FGoals/04_Phase_Detail/02_Elaboration","Elaboration Gate Review")</f>
        <v>Elaboration Gate Review</v>
      </c>
      <c r="B10" s="14"/>
      <c r="C10" s="14"/>
      <c r="D10" s="14"/>
      <c r="E10" s="14"/>
      <c r="F10" s="14"/>
      <c r="G10" s="14"/>
    </row>
    <row r="11" spans="1:7" x14ac:dyDescent="0.2">
      <c r="A11" s="11" t="s">
        <v>28</v>
      </c>
      <c r="B11" s="12"/>
      <c r="C11" s="12"/>
      <c r="D11" s="12"/>
      <c r="E11" s="12"/>
      <c r="F11" s="12"/>
      <c r="G11" s="12"/>
    </row>
    <row r="12" spans="1:7" x14ac:dyDescent="0.2">
      <c r="A12" s="11" t="s">
        <v>711</v>
      </c>
      <c r="B12" s="12"/>
      <c r="C12" s="12"/>
      <c r="D12" s="12"/>
      <c r="E12" s="12"/>
      <c r="F12" s="12"/>
      <c r="G12" s="12"/>
    </row>
    <row r="13" spans="1:7" x14ac:dyDescent="0.2">
      <c r="A13" s="11" t="s">
        <v>712</v>
      </c>
      <c r="B13" s="12"/>
      <c r="C13" s="12"/>
      <c r="D13" s="12"/>
      <c r="E13" s="12"/>
      <c r="F13" s="12"/>
      <c r="G13" s="12"/>
    </row>
    <row r="14" spans="1:7" x14ac:dyDescent="0.2">
      <c r="A14" s="11" t="s">
        <v>29</v>
      </c>
      <c r="B14" s="12"/>
      <c r="C14" s="12"/>
      <c r="D14" s="12"/>
      <c r="E14" s="12"/>
      <c r="F14" s="12"/>
      <c r="G14" s="12"/>
    </row>
    <row r="15" spans="1:7" x14ac:dyDescent="0.2">
      <c r="A15" s="11" t="s">
        <v>30</v>
      </c>
      <c r="B15" s="12"/>
      <c r="C15" s="12"/>
      <c r="D15" s="12"/>
      <c r="E15" s="12"/>
      <c r="F15" s="12"/>
      <c r="G15" s="12"/>
    </row>
    <row r="16" spans="1:7" x14ac:dyDescent="0.2">
      <c r="A16" s="11" t="s">
        <v>31</v>
      </c>
      <c r="B16" s="12"/>
      <c r="C16" s="12"/>
      <c r="D16" s="12"/>
      <c r="E16" s="12"/>
      <c r="F16" s="12"/>
      <c r="G16" s="12"/>
    </row>
    <row r="17" spans="1:7" x14ac:dyDescent="0.2">
      <c r="A17" s="13" t="str">
        <f>HYPERLINK("https://help.modeln.com/GCS/COE/00_Methodology_Description%2F%2FGoals/04_Phase_Detail/03_Construction","Construction Gate Review")</f>
        <v>Construction Gate Review</v>
      </c>
      <c r="B17" s="14"/>
      <c r="C17" s="14"/>
      <c r="D17" s="14"/>
      <c r="E17" s="14"/>
      <c r="F17" s="14"/>
      <c r="G17" s="14"/>
    </row>
    <row r="18" spans="1:7" x14ac:dyDescent="0.2">
      <c r="A18" s="11" t="s">
        <v>713</v>
      </c>
      <c r="B18" s="12"/>
      <c r="C18" s="12"/>
      <c r="D18" s="12"/>
      <c r="E18" s="12"/>
      <c r="F18" s="12"/>
      <c r="G18" s="12"/>
    </row>
    <row r="19" spans="1:7" x14ac:dyDescent="0.2">
      <c r="A19" s="11" t="s">
        <v>714</v>
      </c>
      <c r="B19" s="12"/>
      <c r="C19" s="12"/>
      <c r="D19" s="12"/>
      <c r="E19" s="12"/>
      <c r="F19" s="12"/>
      <c r="G19" s="12"/>
    </row>
    <row r="20" spans="1:7" x14ac:dyDescent="0.2">
      <c r="A20" s="11" t="s">
        <v>715</v>
      </c>
      <c r="B20" s="12"/>
      <c r="C20" s="12"/>
      <c r="D20" s="12"/>
      <c r="E20" s="12"/>
      <c r="F20" s="12"/>
      <c r="G20" s="12"/>
    </row>
    <row r="21" spans="1:7" x14ac:dyDescent="0.2">
      <c r="A21" s="11" t="s">
        <v>32</v>
      </c>
      <c r="B21" s="12"/>
      <c r="C21" s="12"/>
      <c r="D21" s="12"/>
      <c r="E21" s="12"/>
      <c r="F21" s="12"/>
      <c r="G21" s="12"/>
    </row>
    <row r="22" spans="1:7" x14ac:dyDescent="0.2">
      <c r="A22" s="11" t="s">
        <v>33</v>
      </c>
      <c r="B22" s="12"/>
      <c r="C22" s="12"/>
      <c r="D22" s="12"/>
      <c r="E22" s="12"/>
      <c r="F22" s="12"/>
      <c r="G22" s="12"/>
    </row>
    <row r="23" spans="1:7" x14ac:dyDescent="0.2">
      <c r="A23" s="11" t="s">
        <v>34</v>
      </c>
      <c r="B23" s="12"/>
      <c r="C23" s="12"/>
      <c r="D23" s="12"/>
      <c r="E23" s="12"/>
      <c r="F23" s="12"/>
      <c r="G23" s="12"/>
    </row>
    <row r="24" spans="1:7" x14ac:dyDescent="0.2">
      <c r="A24" s="11" t="s">
        <v>35</v>
      </c>
      <c r="B24" s="12"/>
      <c r="C24" s="12"/>
      <c r="D24" s="12"/>
      <c r="E24" s="12"/>
      <c r="F24" s="12"/>
      <c r="G24" s="12"/>
    </row>
    <row r="25" spans="1:7" x14ac:dyDescent="0.2">
      <c r="A25" s="11" t="s">
        <v>36</v>
      </c>
      <c r="B25" s="12"/>
      <c r="C25" s="12"/>
      <c r="D25" s="12"/>
      <c r="E25" s="12"/>
      <c r="F25" s="12"/>
      <c r="G25" s="12"/>
    </row>
    <row r="26" spans="1:7" x14ac:dyDescent="0.2">
      <c r="A26" s="13" t="str">
        <f>HYPERLINK("https://help.modeln.com/GCS/COE/00_Methodology_Description%2F%2FGoals/04_Phase_Detail/04_Verification","Verificaiton Gate Review")</f>
        <v>Verificaiton Gate Review</v>
      </c>
      <c r="B26" s="14"/>
      <c r="C26" s="14"/>
      <c r="D26" s="14"/>
      <c r="E26" s="14"/>
      <c r="F26" s="14"/>
      <c r="G26" s="14"/>
    </row>
    <row r="27" spans="1:7" x14ac:dyDescent="0.2">
      <c r="A27" s="11" t="s">
        <v>37</v>
      </c>
      <c r="B27" s="12"/>
      <c r="C27" s="12"/>
      <c r="D27" s="12"/>
      <c r="E27" s="12"/>
      <c r="F27" s="12"/>
      <c r="G27" s="12"/>
    </row>
    <row r="28" spans="1:7" x14ac:dyDescent="0.2">
      <c r="A28" s="11" t="s">
        <v>38</v>
      </c>
      <c r="B28" s="12"/>
      <c r="C28" s="12"/>
      <c r="D28" s="12"/>
      <c r="E28" s="12"/>
      <c r="F28" s="12"/>
      <c r="G28" s="12"/>
    </row>
    <row r="29" spans="1:7" x14ac:dyDescent="0.2">
      <c r="A29" s="11" t="s">
        <v>39</v>
      </c>
      <c r="B29" s="12"/>
      <c r="C29" s="12"/>
      <c r="D29" s="12"/>
      <c r="E29" s="12"/>
      <c r="F29" s="12"/>
      <c r="G29" s="12"/>
    </row>
    <row r="30" spans="1:7" x14ac:dyDescent="0.2">
      <c r="A30" s="11" t="s">
        <v>40</v>
      </c>
      <c r="B30" s="12"/>
      <c r="C30" s="12"/>
      <c r="D30" s="12"/>
      <c r="E30" s="12"/>
      <c r="F30" s="12"/>
      <c r="G30" s="12"/>
    </row>
    <row r="31" spans="1:7" x14ac:dyDescent="0.2">
      <c r="A31" s="11" t="s">
        <v>41</v>
      </c>
      <c r="B31" s="12"/>
      <c r="C31" s="12"/>
      <c r="D31" s="12"/>
      <c r="E31" s="12"/>
      <c r="F31" s="12"/>
      <c r="G31" s="12"/>
    </row>
    <row r="32" spans="1:7" x14ac:dyDescent="0.2">
      <c r="A32" s="13" t="str">
        <f>HYPERLINK("https://help.modeln.com/GCS/COE/00_Methodology_Description%2F%2FGoals/04_Phase_Detail/05_Transition","Transition Gate Review")</f>
        <v>Transition Gate Review</v>
      </c>
      <c r="B32" s="14"/>
      <c r="C32" s="14"/>
      <c r="D32" s="14"/>
      <c r="E32" s="14"/>
      <c r="F32" s="14"/>
      <c r="G32" s="14"/>
    </row>
  </sheetData>
  <conditionalFormatting sqref="F2:F32">
    <cfRule type="containsText" dxfId="38" priority="1" operator="containsText" text="Complete">
      <formula>NOT(ISERROR(SEARCH("Complete",F2)))</formula>
    </cfRule>
    <cfRule type="containsText" dxfId="37" priority="2" operator="containsText" text="Behind Schedule">
      <formula>NOT(ISERROR(SEARCH("Behind Schedule",F2)))</formula>
    </cfRule>
    <cfRule type="containsText" dxfId="36" priority="3" operator="containsText" text="At Risk">
      <formula>NOT(ISERROR(SEARCH("At Risk",F2)))</formula>
    </cfRule>
    <cfRule type="containsText" dxfId="35" priority="4" operator="containsText" text="On Plan">
      <formula>NOT(ISERROR(SEARCH("On Plan",F2)))</formula>
    </cfRule>
  </conditionalFormatting>
  <dataValidations count="1">
    <dataValidation type="list" sqref="F2:F32">
      <formula1>"On Plan,At Risk,Behind Schedule,Complete"</formula1>
    </dataValidation>
  </dataValidations>
  <hyperlinks>
    <hyperlink ref="A5" r:id="rId1" display="https://help.modeln.com/GCS/COE/00_Methodology_Description%2F%2FGoals/04_Phase_Detail/01_Inception"/>
    <hyperlink ref="A10" r:id="rId2" display="https://help.modeln.com/GCS/COE/00_Methodology_Description%2F%2FGoals/04_Phase_Detail/02_Elaboration"/>
    <hyperlink ref="A17" r:id="rId3" display="https://help.modeln.com/GCS/COE/00_Methodology_Description%2F%2FGoals/04_Phase_Detail/03_Construction"/>
    <hyperlink ref="A26" r:id="rId4" display="https://help.modeln.com/GCS/COE/00_Methodology_Description%2F%2FGoals/04_Phase_Detail/04_Verification"/>
    <hyperlink ref="A32" r:id="rId5" display="https://help.modeln.com/GCS/COE/00_Methodology_Description%2F%2FGoals/04_Phase_Detail/05_Transitio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G874"/>
  <sheetViews>
    <sheetView workbookViewId="0">
      <pane xSplit="2" ySplit="1" topLeftCell="C2" activePane="bottomRight" state="frozen"/>
      <selection activeCell="F8" sqref="F8:F9"/>
      <selection pane="topRight" activeCell="F8" sqref="F8:F9"/>
      <selection pane="bottomLeft" activeCell="F8" sqref="F8:F9"/>
      <selection pane="bottomRight" activeCell="A16" sqref="A16"/>
    </sheetView>
  </sheetViews>
  <sheetFormatPr defaultColWidth="14.42578125" defaultRowHeight="15.75" customHeight="1" x14ac:dyDescent="0.2"/>
  <cols>
    <col min="1" max="1" width="32" style="2" bestFit="1" customWidth="1"/>
    <col min="2" max="2" width="11.7109375" style="2" customWidth="1"/>
    <col min="3" max="3" width="11.5703125" style="2" customWidth="1"/>
    <col min="4" max="4" width="11.28515625" style="2" customWidth="1"/>
    <col min="5" max="7" width="13.7109375" style="2" customWidth="1"/>
    <col min="8" max="16384" width="14.42578125" style="2"/>
  </cols>
  <sheetData>
    <row r="1" spans="1:7" s="35" customFormat="1" ht="44.45" customHeight="1" x14ac:dyDescent="0.2">
      <c r="A1" s="46" t="s">
        <v>344</v>
      </c>
      <c r="B1" s="46" t="s">
        <v>233</v>
      </c>
      <c r="C1" s="46" t="s">
        <v>234</v>
      </c>
      <c r="D1" s="46" t="s">
        <v>235</v>
      </c>
      <c r="E1" s="46" t="s">
        <v>236</v>
      </c>
      <c r="F1" s="46" t="s">
        <v>237</v>
      </c>
      <c r="G1" s="46" t="s">
        <v>238</v>
      </c>
    </row>
    <row r="2" spans="1:7" ht="15.75" customHeight="1" x14ac:dyDescent="0.2">
      <c r="A2" s="29" t="s">
        <v>239</v>
      </c>
      <c r="B2" s="29" t="s">
        <v>240</v>
      </c>
      <c r="C2" s="29"/>
      <c r="D2" s="29"/>
      <c r="E2" s="29"/>
      <c r="F2" s="29"/>
      <c r="G2" s="29"/>
    </row>
    <row r="3" spans="1:7" ht="15.75" customHeight="1" x14ac:dyDescent="0.2">
      <c r="A3" s="29" t="s">
        <v>241</v>
      </c>
      <c r="B3" s="29" t="s">
        <v>242</v>
      </c>
      <c r="C3" s="29"/>
      <c r="D3" s="29"/>
      <c r="E3" s="29"/>
      <c r="F3" s="29"/>
      <c r="G3" s="29"/>
    </row>
    <row r="4" spans="1:7" ht="15.75" customHeight="1" x14ac:dyDescent="0.2">
      <c r="A4" s="30" t="s">
        <v>243</v>
      </c>
      <c r="B4" s="29" t="s">
        <v>244</v>
      </c>
      <c r="C4" s="29"/>
      <c r="D4" s="29"/>
      <c r="E4" s="29"/>
      <c r="F4" s="29"/>
      <c r="G4" s="29"/>
    </row>
    <row r="5" spans="1:7" ht="15.75" customHeight="1" x14ac:dyDescent="0.2">
      <c r="A5" s="30" t="s">
        <v>245</v>
      </c>
      <c r="B5" s="29" t="s">
        <v>246</v>
      </c>
      <c r="C5" s="29"/>
      <c r="D5" s="29"/>
      <c r="E5" s="29"/>
      <c r="F5" s="29"/>
      <c r="G5" s="29"/>
    </row>
    <row r="6" spans="1:7" ht="15.75" customHeight="1" x14ac:dyDescent="0.2">
      <c r="A6" s="30" t="s">
        <v>247</v>
      </c>
      <c r="B6" s="29" t="s">
        <v>248</v>
      </c>
      <c r="C6" s="29"/>
      <c r="D6" s="29"/>
      <c r="E6" s="29"/>
      <c r="F6" s="29"/>
      <c r="G6" s="29"/>
    </row>
    <row r="7" spans="1:7" ht="15.75" customHeight="1" x14ac:dyDescent="0.2">
      <c r="A7" s="30" t="s">
        <v>249</v>
      </c>
      <c r="B7" s="29" t="s">
        <v>250</v>
      </c>
      <c r="C7" s="29"/>
      <c r="D7" s="29"/>
      <c r="E7" s="29"/>
      <c r="F7" s="29"/>
      <c r="G7" s="29"/>
    </row>
    <row r="8" spans="1:7" ht="15.75" customHeight="1" x14ac:dyDescent="0.2">
      <c r="A8" s="30" t="s">
        <v>251</v>
      </c>
      <c r="B8" s="29" t="s">
        <v>252</v>
      </c>
      <c r="C8" s="29"/>
      <c r="D8" s="29"/>
      <c r="E8" s="29"/>
      <c r="F8" s="29"/>
      <c r="G8" s="29"/>
    </row>
    <row r="9" spans="1:7" ht="15.75" customHeight="1" x14ac:dyDescent="0.2">
      <c r="A9" s="30" t="s">
        <v>253</v>
      </c>
      <c r="B9" s="29" t="s">
        <v>254</v>
      </c>
      <c r="C9" s="29"/>
      <c r="D9" s="29"/>
      <c r="E9" s="29"/>
      <c r="F9" s="29"/>
      <c r="G9" s="29"/>
    </row>
    <row r="10" spans="1:7" ht="15.75" customHeight="1" x14ac:dyDescent="0.2">
      <c r="A10" s="30" t="s">
        <v>255</v>
      </c>
      <c r="B10" s="29" t="s">
        <v>256</v>
      </c>
      <c r="C10" s="29"/>
      <c r="D10" s="29"/>
      <c r="E10" s="29"/>
      <c r="F10" s="29"/>
      <c r="G10" s="29"/>
    </row>
    <row r="11" spans="1:7" ht="15.75" customHeight="1" x14ac:dyDescent="0.2">
      <c r="A11" s="30" t="s">
        <v>257</v>
      </c>
      <c r="B11" s="29" t="s">
        <v>258</v>
      </c>
      <c r="C11" s="29"/>
      <c r="D11" s="29"/>
      <c r="E11" s="29"/>
      <c r="F11" s="29"/>
      <c r="G11" s="29"/>
    </row>
    <row r="12" spans="1:7" ht="15.75" customHeight="1" x14ac:dyDescent="0.2">
      <c r="A12" s="30" t="s">
        <v>259</v>
      </c>
      <c r="B12" s="29" t="s">
        <v>260</v>
      </c>
      <c r="C12" s="29"/>
      <c r="D12" s="29"/>
      <c r="E12" s="29"/>
      <c r="F12" s="29"/>
      <c r="G12" s="29"/>
    </row>
    <row r="13" spans="1:7" ht="15.75" customHeight="1" x14ac:dyDescent="0.2">
      <c r="A13" s="30" t="s">
        <v>261</v>
      </c>
      <c r="B13" s="29" t="s">
        <v>262</v>
      </c>
      <c r="C13" s="29"/>
      <c r="D13" s="29"/>
      <c r="E13" s="29"/>
      <c r="F13" s="29"/>
      <c r="G13" s="29"/>
    </row>
    <row r="14" spans="1:7" ht="15.75" customHeight="1" x14ac:dyDescent="0.2">
      <c r="A14" s="30" t="s">
        <v>263</v>
      </c>
      <c r="B14" s="29" t="s">
        <v>264</v>
      </c>
      <c r="C14" s="29"/>
      <c r="D14" s="29"/>
      <c r="E14" s="29"/>
      <c r="F14" s="29"/>
      <c r="G14" s="29"/>
    </row>
    <row r="15" spans="1:7" ht="15.75" customHeight="1" x14ac:dyDescent="0.2">
      <c r="A15" s="31" t="s">
        <v>265</v>
      </c>
      <c r="B15" s="29" t="s">
        <v>266</v>
      </c>
      <c r="C15" s="29"/>
      <c r="D15" s="29"/>
      <c r="E15" s="29"/>
      <c r="F15" s="29"/>
      <c r="G15" s="29"/>
    </row>
    <row r="16" spans="1:7" ht="15.75" customHeight="1" x14ac:dyDescent="0.2">
      <c r="A16" s="31" t="s">
        <v>267</v>
      </c>
      <c r="B16" s="29" t="s">
        <v>268</v>
      </c>
      <c r="C16" s="29"/>
      <c r="D16" s="29"/>
      <c r="E16" s="29"/>
      <c r="F16" s="29"/>
      <c r="G16" s="29"/>
    </row>
    <row r="17" spans="1:7" ht="15.75" customHeight="1" x14ac:dyDescent="0.2">
      <c r="A17" s="31" t="s">
        <v>269</v>
      </c>
      <c r="B17" s="29" t="s">
        <v>270</v>
      </c>
      <c r="C17" s="29"/>
      <c r="D17" s="29"/>
      <c r="E17" s="29"/>
      <c r="F17" s="29"/>
      <c r="G17" s="29"/>
    </row>
    <row r="18" spans="1:7" ht="15.75" customHeight="1" x14ac:dyDescent="0.2">
      <c r="A18" s="31" t="s">
        <v>271</v>
      </c>
      <c r="B18" s="29" t="s">
        <v>272</v>
      </c>
      <c r="C18" s="29"/>
      <c r="D18" s="29"/>
      <c r="E18" s="29"/>
      <c r="F18" s="29"/>
      <c r="G18" s="29"/>
    </row>
    <row r="19" spans="1:7" ht="15.75" customHeight="1" x14ac:dyDescent="0.2">
      <c r="A19" s="31" t="s">
        <v>273</v>
      </c>
      <c r="B19" s="29" t="s">
        <v>274</v>
      </c>
      <c r="C19" s="29"/>
      <c r="D19" s="29"/>
      <c r="E19" s="29"/>
      <c r="F19" s="29"/>
      <c r="G19" s="29"/>
    </row>
    <row r="20" spans="1:7" ht="15.75" customHeight="1" x14ac:dyDescent="0.2">
      <c r="A20" s="31" t="s">
        <v>275</v>
      </c>
      <c r="B20" s="29" t="s">
        <v>276</v>
      </c>
      <c r="C20" s="29"/>
      <c r="D20" s="29"/>
      <c r="E20" s="29"/>
      <c r="F20" s="29"/>
      <c r="G20" s="29"/>
    </row>
    <row r="21" spans="1:7" ht="15.75" customHeight="1" x14ac:dyDescent="0.2">
      <c r="A21" s="31" t="s">
        <v>277</v>
      </c>
      <c r="B21" s="29" t="s">
        <v>278</v>
      </c>
      <c r="C21" s="32"/>
      <c r="D21" s="32"/>
      <c r="E21" s="32"/>
      <c r="F21" s="32"/>
      <c r="G21" s="32"/>
    </row>
    <row r="22" spans="1:7" ht="15.75" customHeight="1" x14ac:dyDescent="0.2">
      <c r="A22" s="31" t="s">
        <v>279</v>
      </c>
      <c r="B22" s="29" t="s">
        <v>280</v>
      </c>
      <c r="C22" s="32"/>
      <c r="D22" s="32"/>
      <c r="E22" s="32"/>
      <c r="F22" s="32"/>
      <c r="G22" s="32"/>
    </row>
    <row r="23" spans="1:7" ht="15.75" customHeight="1" x14ac:dyDescent="0.2">
      <c r="A23" s="31" t="s">
        <v>281</v>
      </c>
      <c r="B23" s="29" t="s">
        <v>282</v>
      </c>
      <c r="C23" s="12"/>
      <c r="D23" s="32"/>
      <c r="E23" s="32"/>
      <c r="F23" s="32"/>
      <c r="G23" s="32"/>
    </row>
    <row r="24" spans="1:7" ht="12.75" x14ac:dyDescent="0.2">
      <c r="A24" s="31" t="s">
        <v>283</v>
      </c>
      <c r="B24" s="29" t="s">
        <v>284</v>
      </c>
      <c r="C24" s="12"/>
      <c r="D24" s="32"/>
      <c r="E24" s="32"/>
      <c r="F24" s="32"/>
      <c r="G24" s="32"/>
    </row>
    <row r="25" spans="1:7" ht="12.75" x14ac:dyDescent="0.2">
      <c r="A25" s="28"/>
      <c r="B25" s="28"/>
      <c r="C25" s="28"/>
      <c r="D25" s="28"/>
      <c r="E25" s="28"/>
      <c r="F25" s="28"/>
      <c r="G25" s="28"/>
    </row>
    <row r="26" spans="1:7" ht="15" x14ac:dyDescent="0.25">
      <c r="A26" s="33"/>
      <c r="B26" s="28"/>
      <c r="C26" s="28"/>
      <c r="D26" s="28"/>
      <c r="E26" s="28"/>
      <c r="F26" s="28"/>
      <c r="G26" s="28"/>
    </row>
    <row r="27" spans="1:7" ht="12.75" x14ac:dyDescent="0.2">
      <c r="A27" s="28"/>
      <c r="B27" s="28"/>
      <c r="C27" s="28"/>
      <c r="D27" s="28"/>
      <c r="E27" s="28"/>
      <c r="F27" s="28"/>
      <c r="G27" s="28"/>
    </row>
    <row r="28" spans="1:7" ht="12.75" x14ac:dyDescent="0.2">
      <c r="A28" s="28"/>
      <c r="B28" s="28"/>
      <c r="C28" s="28"/>
      <c r="D28" s="28"/>
      <c r="E28" s="28"/>
      <c r="F28" s="28"/>
      <c r="G28" s="28"/>
    </row>
    <row r="29" spans="1:7" ht="12.75" x14ac:dyDescent="0.2">
      <c r="A29" s="28"/>
      <c r="B29" s="28"/>
      <c r="C29" s="28"/>
      <c r="D29" s="28"/>
      <c r="E29" s="28"/>
      <c r="F29" s="28"/>
      <c r="G29" s="28"/>
    </row>
    <row r="30" spans="1:7" ht="12.75" x14ac:dyDescent="0.2">
      <c r="A30" s="28"/>
      <c r="B30" s="28"/>
      <c r="C30" s="28"/>
      <c r="D30" s="28"/>
      <c r="E30" s="28"/>
      <c r="F30" s="28"/>
      <c r="G30" s="28"/>
    </row>
    <row r="31" spans="1:7" ht="12.75" x14ac:dyDescent="0.2">
      <c r="A31" s="28"/>
      <c r="B31" s="28"/>
      <c r="C31" s="28"/>
      <c r="D31" s="28"/>
      <c r="E31" s="28"/>
      <c r="F31" s="28"/>
      <c r="G31" s="28"/>
    </row>
    <row r="32" spans="1:7" ht="12.75" x14ac:dyDescent="0.2">
      <c r="A32" s="28"/>
      <c r="B32" s="28"/>
      <c r="C32" s="28"/>
      <c r="D32" s="28"/>
      <c r="E32" s="28"/>
      <c r="F32" s="28"/>
      <c r="G32" s="28"/>
    </row>
    <row r="33" spans="1:7" ht="12.75" x14ac:dyDescent="0.2">
      <c r="A33" s="28"/>
      <c r="B33" s="28"/>
      <c r="C33" s="28"/>
      <c r="D33" s="28"/>
      <c r="E33" s="28"/>
      <c r="F33" s="28"/>
      <c r="G33" s="28"/>
    </row>
    <row r="34" spans="1:7" ht="12.75" x14ac:dyDescent="0.2">
      <c r="A34" s="28"/>
      <c r="B34" s="28"/>
      <c r="C34" s="28"/>
      <c r="D34" s="28"/>
      <c r="E34" s="28"/>
      <c r="F34" s="28"/>
      <c r="G34" s="28"/>
    </row>
    <row r="35" spans="1:7" ht="12.75" x14ac:dyDescent="0.2">
      <c r="A35" s="28"/>
      <c r="B35" s="28"/>
      <c r="C35" s="28"/>
      <c r="D35" s="28"/>
      <c r="E35" s="28"/>
      <c r="F35" s="28"/>
      <c r="G35" s="28"/>
    </row>
    <row r="36" spans="1:7" ht="12.75" x14ac:dyDescent="0.2">
      <c r="A36" s="28"/>
      <c r="B36" s="28"/>
      <c r="C36" s="28"/>
      <c r="D36" s="28"/>
      <c r="E36" s="28"/>
      <c r="F36" s="28"/>
      <c r="G36" s="28"/>
    </row>
    <row r="37" spans="1:7" ht="12.75" x14ac:dyDescent="0.2">
      <c r="A37" s="28"/>
      <c r="B37" s="28"/>
      <c r="C37" s="28"/>
      <c r="D37" s="28"/>
      <c r="E37" s="28"/>
      <c r="F37" s="28"/>
      <c r="G37" s="28"/>
    </row>
    <row r="38" spans="1:7" ht="12.75" x14ac:dyDescent="0.2">
      <c r="A38" s="28"/>
      <c r="B38" s="28"/>
      <c r="C38" s="28"/>
      <c r="D38" s="28"/>
      <c r="E38" s="28"/>
      <c r="F38" s="28"/>
      <c r="G38" s="28"/>
    </row>
    <row r="39" spans="1:7" ht="12.75" x14ac:dyDescent="0.2">
      <c r="A39" s="28"/>
      <c r="B39" s="28"/>
      <c r="C39" s="28"/>
      <c r="D39" s="28"/>
      <c r="E39" s="28"/>
      <c r="F39" s="28"/>
      <c r="G39" s="28"/>
    </row>
    <row r="40" spans="1:7" ht="12.75" x14ac:dyDescent="0.2">
      <c r="A40" s="28"/>
      <c r="B40" s="28"/>
      <c r="C40" s="28"/>
      <c r="D40" s="28"/>
      <c r="E40" s="28"/>
      <c r="F40" s="28"/>
      <c r="G40" s="28"/>
    </row>
    <row r="41" spans="1:7" ht="12.75" x14ac:dyDescent="0.2">
      <c r="A41" s="28"/>
      <c r="B41" s="28"/>
      <c r="C41" s="28"/>
      <c r="D41" s="28"/>
      <c r="E41" s="28"/>
      <c r="F41" s="28"/>
      <c r="G41" s="28"/>
    </row>
    <row r="42" spans="1:7" ht="12.75" x14ac:dyDescent="0.2">
      <c r="A42" s="28"/>
      <c r="B42" s="28"/>
      <c r="C42" s="28"/>
      <c r="D42" s="28"/>
      <c r="E42" s="28"/>
      <c r="F42" s="28"/>
      <c r="G42" s="28"/>
    </row>
    <row r="43" spans="1:7" ht="12.75" x14ac:dyDescent="0.2">
      <c r="A43" s="28"/>
      <c r="B43" s="28"/>
      <c r="C43" s="28"/>
      <c r="D43" s="28"/>
      <c r="E43" s="28"/>
      <c r="F43" s="28"/>
      <c r="G43" s="28"/>
    </row>
    <row r="44" spans="1:7" ht="12.75" x14ac:dyDescent="0.2">
      <c r="A44" s="28"/>
      <c r="B44" s="28"/>
      <c r="C44" s="28"/>
      <c r="D44" s="28"/>
      <c r="E44" s="28"/>
      <c r="F44" s="28"/>
      <c r="G44" s="28"/>
    </row>
    <row r="45" spans="1:7" ht="12.75" x14ac:dyDescent="0.2">
      <c r="A45" s="28"/>
      <c r="B45" s="28"/>
      <c r="C45" s="28"/>
      <c r="D45" s="28"/>
      <c r="E45" s="28"/>
      <c r="F45" s="28"/>
      <c r="G45" s="28"/>
    </row>
    <row r="46" spans="1:7" ht="12.75" x14ac:dyDescent="0.2">
      <c r="A46" s="28"/>
      <c r="B46" s="28"/>
      <c r="C46" s="28"/>
      <c r="D46" s="28"/>
      <c r="E46" s="28"/>
      <c r="F46" s="28"/>
      <c r="G46" s="28"/>
    </row>
    <row r="47" spans="1:7" ht="12.75" x14ac:dyDescent="0.2">
      <c r="A47" s="28"/>
      <c r="B47" s="28"/>
      <c r="C47" s="28"/>
      <c r="D47" s="28"/>
      <c r="E47" s="28"/>
      <c r="F47" s="28"/>
      <c r="G47" s="28"/>
    </row>
    <row r="48" spans="1:7" ht="12.75" x14ac:dyDescent="0.2">
      <c r="A48" s="28"/>
      <c r="B48" s="28"/>
      <c r="C48" s="28"/>
      <c r="D48" s="28"/>
      <c r="E48" s="28"/>
      <c r="F48" s="28"/>
      <c r="G48" s="28"/>
    </row>
    <row r="49" spans="1:7" ht="12.75" x14ac:dyDescent="0.2">
      <c r="A49" s="28"/>
      <c r="B49" s="28"/>
      <c r="C49" s="28"/>
      <c r="D49" s="28"/>
      <c r="E49" s="28"/>
      <c r="F49" s="28"/>
      <c r="G49" s="28"/>
    </row>
    <row r="50" spans="1:7" ht="12.75" x14ac:dyDescent="0.2">
      <c r="A50" s="28"/>
      <c r="B50" s="28"/>
      <c r="C50" s="28"/>
      <c r="D50" s="28"/>
      <c r="E50" s="28"/>
      <c r="F50" s="28"/>
      <c r="G50" s="28"/>
    </row>
    <row r="51" spans="1:7" ht="12.75" x14ac:dyDescent="0.2">
      <c r="A51" s="28"/>
      <c r="B51" s="28"/>
      <c r="C51" s="28"/>
      <c r="D51" s="28"/>
      <c r="E51" s="28"/>
      <c r="F51" s="28"/>
      <c r="G51" s="28"/>
    </row>
    <row r="52" spans="1:7" ht="12.75" x14ac:dyDescent="0.2">
      <c r="A52" s="28"/>
      <c r="B52" s="28"/>
      <c r="C52" s="28"/>
      <c r="D52" s="28"/>
      <c r="E52" s="28"/>
      <c r="F52" s="28"/>
      <c r="G52" s="28"/>
    </row>
    <row r="53" spans="1:7" ht="12.75" x14ac:dyDescent="0.2">
      <c r="A53" s="28"/>
      <c r="B53" s="28"/>
      <c r="C53" s="28"/>
      <c r="D53" s="28"/>
      <c r="E53" s="28"/>
      <c r="F53" s="28"/>
      <c r="G53" s="28"/>
    </row>
    <row r="54" spans="1:7" ht="12.75" x14ac:dyDescent="0.2">
      <c r="A54" s="28"/>
      <c r="B54" s="28"/>
      <c r="C54" s="28"/>
      <c r="D54" s="28"/>
      <c r="E54" s="28"/>
      <c r="F54" s="28"/>
      <c r="G54" s="28"/>
    </row>
    <row r="55" spans="1:7" ht="12.75" x14ac:dyDescent="0.2">
      <c r="A55" s="28"/>
      <c r="B55" s="28"/>
      <c r="C55" s="28"/>
      <c r="D55" s="28"/>
      <c r="E55" s="28"/>
      <c r="F55" s="28"/>
      <c r="G55" s="28"/>
    </row>
    <row r="56" spans="1:7" ht="12.75" x14ac:dyDescent="0.2">
      <c r="A56" s="28"/>
      <c r="B56" s="28"/>
      <c r="C56" s="28"/>
      <c r="D56" s="28"/>
      <c r="E56" s="28"/>
      <c r="F56" s="28"/>
      <c r="G56" s="28"/>
    </row>
    <row r="57" spans="1:7" ht="12.75" x14ac:dyDescent="0.2">
      <c r="A57" s="28"/>
      <c r="B57" s="28"/>
      <c r="C57" s="28"/>
      <c r="D57" s="28"/>
      <c r="E57" s="28"/>
      <c r="F57" s="28"/>
      <c r="G57" s="28"/>
    </row>
    <row r="58" spans="1:7" ht="12.75" x14ac:dyDescent="0.2">
      <c r="A58" s="28"/>
      <c r="B58" s="28"/>
      <c r="C58" s="28"/>
      <c r="D58" s="28"/>
      <c r="E58" s="28"/>
      <c r="F58" s="28"/>
      <c r="G58" s="28"/>
    </row>
    <row r="59" spans="1:7" ht="12.75" x14ac:dyDescent="0.2">
      <c r="A59" s="28"/>
      <c r="B59" s="28"/>
      <c r="C59" s="28"/>
      <c r="D59" s="28"/>
      <c r="E59" s="28"/>
      <c r="F59" s="28"/>
      <c r="G59" s="28"/>
    </row>
    <row r="60" spans="1:7" ht="12.75" x14ac:dyDescent="0.2">
      <c r="A60" s="28"/>
      <c r="B60" s="28"/>
      <c r="C60" s="28"/>
      <c r="D60" s="28"/>
      <c r="E60" s="28"/>
      <c r="F60" s="28"/>
      <c r="G60" s="28"/>
    </row>
    <row r="61" spans="1:7" ht="12.75" x14ac:dyDescent="0.2">
      <c r="A61" s="28"/>
      <c r="B61" s="28"/>
      <c r="C61" s="28"/>
      <c r="D61" s="28"/>
      <c r="E61" s="28"/>
      <c r="F61" s="28"/>
      <c r="G61" s="28"/>
    </row>
    <row r="62" spans="1:7" ht="12.75" x14ac:dyDescent="0.2">
      <c r="A62" s="28"/>
      <c r="B62" s="28"/>
      <c r="C62" s="28"/>
      <c r="D62" s="28"/>
      <c r="E62" s="28"/>
      <c r="F62" s="28"/>
      <c r="G62" s="28"/>
    </row>
    <row r="63" spans="1:7" ht="12.75" x14ac:dyDescent="0.2">
      <c r="A63" s="28"/>
      <c r="B63" s="28"/>
      <c r="C63" s="28"/>
      <c r="D63" s="28"/>
      <c r="E63" s="28"/>
      <c r="F63" s="28"/>
      <c r="G63" s="28"/>
    </row>
    <row r="64" spans="1:7" ht="12.75" x14ac:dyDescent="0.2">
      <c r="A64" s="28"/>
      <c r="B64" s="28"/>
      <c r="C64" s="28"/>
      <c r="D64" s="28"/>
      <c r="E64" s="28"/>
      <c r="F64" s="28"/>
      <c r="G64" s="28"/>
    </row>
    <row r="65" spans="1:7" ht="12.75" x14ac:dyDescent="0.2">
      <c r="A65" s="28"/>
      <c r="B65" s="28"/>
      <c r="C65" s="28"/>
      <c r="D65" s="28"/>
      <c r="E65" s="28"/>
      <c r="F65" s="28"/>
      <c r="G65" s="28"/>
    </row>
    <row r="66" spans="1:7" ht="12.75" x14ac:dyDescent="0.2">
      <c r="A66" s="28"/>
      <c r="B66" s="28"/>
      <c r="C66" s="28"/>
      <c r="D66" s="28"/>
      <c r="E66" s="28"/>
      <c r="F66" s="28"/>
      <c r="G66" s="28"/>
    </row>
    <row r="67" spans="1:7" ht="12.75" x14ac:dyDescent="0.2">
      <c r="A67" s="28"/>
      <c r="B67" s="28"/>
      <c r="C67" s="28"/>
      <c r="D67" s="28"/>
      <c r="E67" s="28"/>
      <c r="F67" s="28"/>
      <c r="G67" s="28"/>
    </row>
    <row r="68" spans="1:7" ht="12.75" x14ac:dyDescent="0.2">
      <c r="A68" s="28"/>
      <c r="B68" s="28"/>
      <c r="C68" s="28"/>
      <c r="D68" s="28"/>
      <c r="E68" s="28"/>
      <c r="F68" s="28"/>
      <c r="G68" s="28"/>
    </row>
    <row r="69" spans="1:7" ht="12.75" x14ac:dyDescent="0.2">
      <c r="A69" s="28"/>
      <c r="B69" s="28"/>
      <c r="C69" s="28"/>
      <c r="D69" s="28"/>
      <c r="E69" s="28"/>
      <c r="F69" s="28"/>
      <c r="G69" s="28"/>
    </row>
    <row r="70" spans="1:7" ht="12.75" x14ac:dyDescent="0.2">
      <c r="A70" s="28"/>
      <c r="B70" s="28"/>
      <c r="C70" s="28"/>
      <c r="D70" s="28"/>
      <c r="E70" s="28"/>
      <c r="F70" s="28"/>
      <c r="G70" s="28"/>
    </row>
    <row r="71" spans="1:7" ht="12.75" x14ac:dyDescent="0.2">
      <c r="A71" s="28"/>
      <c r="B71" s="28"/>
      <c r="C71" s="28"/>
      <c r="D71" s="28"/>
      <c r="E71" s="28"/>
      <c r="F71" s="28"/>
      <c r="G71" s="28"/>
    </row>
    <row r="72" spans="1:7" ht="12.75" x14ac:dyDescent="0.2">
      <c r="A72" s="28"/>
      <c r="B72" s="28"/>
      <c r="C72" s="28"/>
      <c r="D72" s="28"/>
      <c r="E72" s="28"/>
      <c r="F72" s="28"/>
      <c r="G72" s="28"/>
    </row>
    <row r="73" spans="1:7" ht="12.75" x14ac:dyDescent="0.2">
      <c r="A73" s="28"/>
      <c r="B73" s="28"/>
      <c r="C73" s="28"/>
      <c r="D73" s="28"/>
      <c r="E73" s="28"/>
      <c r="F73" s="28"/>
      <c r="G73" s="28"/>
    </row>
    <row r="74" spans="1:7" ht="12.75" x14ac:dyDescent="0.2">
      <c r="A74" s="28"/>
      <c r="B74" s="28"/>
      <c r="C74" s="28"/>
      <c r="D74" s="28"/>
      <c r="E74" s="28"/>
      <c r="F74" s="28"/>
      <c r="G74" s="28"/>
    </row>
    <row r="75" spans="1:7" ht="12.75" x14ac:dyDescent="0.2">
      <c r="A75" s="28"/>
      <c r="B75" s="28"/>
      <c r="C75" s="28"/>
      <c r="D75" s="28"/>
      <c r="E75" s="28"/>
      <c r="F75" s="28"/>
      <c r="G75" s="28"/>
    </row>
    <row r="76" spans="1:7" ht="12.75" x14ac:dyDescent="0.2">
      <c r="A76" s="28"/>
      <c r="B76" s="28"/>
      <c r="C76" s="28"/>
      <c r="D76" s="28"/>
      <c r="E76" s="28"/>
      <c r="F76" s="28"/>
      <c r="G76" s="28"/>
    </row>
    <row r="77" spans="1:7" ht="12.75" x14ac:dyDescent="0.2">
      <c r="A77" s="28"/>
      <c r="B77" s="28"/>
      <c r="C77" s="28"/>
      <c r="D77" s="28"/>
      <c r="E77" s="28"/>
      <c r="F77" s="28"/>
      <c r="G77" s="28"/>
    </row>
    <row r="78" spans="1:7" ht="12.75" x14ac:dyDescent="0.2">
      <c r="A78" s="28"/>
      <c r="B78" s="28"/>
      <c r="C78" s="28"/>
      <c r="D78" s="28"/>
      <c r="E78" s="28"/>
      <c r="F78" s="28"/>
      <c r="G78" s="28"/>
    </row>
    <row r="79" spans="1:7" ht="12.75" x14ac:dyDescent="0.2">
      <c r="A79" s="28"/>
      <c r="B79" s="28"/>
      <c r="C79" s="28"/>
      <c r="D79" s="28"/>
      <c r="E79" s="28"/>
      <c r="F79" s="28"/>
      <c r="G79" s="28"/>
    </row>
    <row r="80" spans="1:7" ht="12.75" x14ac:dyDescent="0.2">
      <c r="A80" s="28"/>
      <c r="B80" s="28"/>
      <c r="C80" s="28"/>
      <c r="D80" s="28"/>
      <c r="E80" s="28"/>
      <c r="F80" s="28"/>
      <c r="G80" s="28"/>
    </row>
    <row r="81" spans="1:7" ht="12.75" x14ac:dyDescent="0.2">
      <c r="A81" s="28"/>
      <c r="B81" s="28"/>
      <c r="C81" s="28"/>
      <c r="D81" s="28"/>
      <c r="E81" s="28"/>
      <c r="F81" s="28"/>
      <c r="G81" s="28"/>
    </row>
    <row r="82" spans="1:7" ht="12.75" x14ac:dyDescent="0.2">
      <c r="A82" s="28"/>
      <c r="B82" s="28"/>
      <c r="C82" s="28"/>
      <c r="D82" s="28"/>
      <c r="E82" s="28"/>
      <c r="F82" s="28"/>
      <c r="G82" s="28"/>
    </row>
    <row r="83" spans="1:7" ht="12.75" x14ac:dyDescent="0.2">
      <c r="A83" s="28"/>
      <c r="B83" s="28"/>
      <c r="C83" s="28"/>
      <c r="D83" s="28"/>
      <c r="E83" s="28"/>
      <c r="F83" s="28"/>
      <c r="G83" s="28"/>
    </row>
    <row r="84" spans="1:7" ht="12.75" x14ac:dyDescent="0.2">
      <c r="A84" s="28"/>
      <c r="B84" s="28"/>
      <c r="C84" s="28"/>
      <c r="D84" s="28"/>
      <c r="E84" s="28"/>
      <c r="F84" s="28"/>
      <c r="G84" s="28"/>
    </row>
    <row r="85" spans="1:7" ht="12.75" x14ac:dyDescent="0.2">
      <c r="A85" s="28"/>
      <c r="B85" s="28"/>
      <c r="C85" s="28"/>
      <c r="D85" s="28"/>
      <c r="E85" s="28"/>
      <c r="F85" s="28"/>
      <c r="G85" s="28"/>
    </row>
    <row r="86" spans="1:7" ht="12.75" x14ac:dyDescent="0.2">
      <c r="A86" s="28"/>
      <c r="B86" s="28"/>
      <c r="C86" s="28"/>
      <c r="D86" s="28"/>
      <c r="E86" s="28"/>
      <c r="F86" s="28"/>
      <c r="G86" s="28"/>
    </row>
    <row r="87" spans="1:7" ht="12.75" x14ac:dyDescent="0.2">
      <c r="A87" s="28"/>
      <c r="B87" s="28"/>
      <c r="C87" s="28"/>
      <c r="D87" s="28"/>
      <c r="E87" s="28"/>
      <c r="F87" s="28"/>
      <c r="G87" s="28"/>
    </row>
    <row r="88" spans="1:7" ht="12.75" x14ac:dyDescent="0.2">
      <c r="A88" s="28"/>
      <c r="B88" s="28"/>
      <c r="C88" s="28"/>
      <c r="D88" s="28"/>
      <c r="E88" s="28"/>
      <c r="F88" s="28"/>
      <c r="G88" s="28"/>
    </row>
    <row r="89" spans="1:7" ht="12.75" x14ac:dyDescent="0.2">
      <c r="A89" s="28"/>
      <c r="B89" s="28"/>
      <c r="C89" s="28"/>
      <c r="D89" s="28"/>
      <c r="E89" s="28"/>
      <c r="F89" s="28"/>
      <c r="G89" s="28"/>
    </row>
    <row r="90" spans="1:7" ht="12.75" x14ac:dyDescent="0.2">
      <c r="A90" s="28"/>
      <c r="B90" s="28"/>
      <c r="C90" s="28"/>
      <c r="D90" s="28"/>
      <c r="E90" s="28"/>
      <c r="F90" s="28"/>
      <c r="G90" s="28"/>
    </row>
    <row r="91" spans="1:7" ht="12.75" x14ac:dyDescent="0.2">
      <c r="A91" s="28"/>
      <c r="B91" s="28"/>
      <c r="C91" s="28"/>
      <c r="D91" s="28"/>
      <c r="E91" s="28"/>
      <c r="F91" s="28"/>
      <c r="G91" s="28"/>
    </row>
    <row r="92" spans="1:7" ht="12.75" x14ac:dyDescent="0.2">
      <c r="A92" s="28"/>
      <c r="B92" s="28"/>
      <c r="C92" s="28"/>
      <c r="D92" s="28"/>
      <c r="E92" s="28"/>
      <c r="F92" s="28"/>
      <c r="G92" s="28"/>
    </row>
    <row r="93" spans="1:7" ht="12.75" x14ac:dyDescent="0.2">
      <c r="A93" s="28"/>
      <c r="B93" s="28"/>
      <c r="C93" s="28"/>
      <c r="D93" s="28"/>
      <c r="E93" s="28"/>
      <c r="F93" s="28"/>
      <c r="G93" s="28"/>
    </row>
    <row r="94" spans="1:7" ht="12.75" x14ac:dyDescent="0.2">
      <c r="A94" s="28"/>
      <c r="B94" s="28"/>
      <c r="C94" s="28"/>
      <c r="D94" s="28"/>
      <c r="E94" s="28"/>
      <c r="F94" s="28"/>
      <c r="G94" s="28"/>
    </row>
    <row r="95" spans="1:7" ht="12.75" x14ac:dyDescent="0.2">
      <c r="A95" s="28"/>
      <c r="B95" s="28"/>
      <c r="C95" s="28"/>
      <c r="D95" s="28"/>
      <c r="E95" s="28"/>
      <c r="F95" s="28"/>
      <c r="G95" s="28"/>
    </row>
    <row r="96" spans="1:7" ht="12.75" x14ac:dyDescent="0.2">
      <c r="A96" s="28"/>
      <c r="B96" s="28"/>
      <c r="C96" s="28"/>
      <c r="D96" s="28"/>
      <c r="E96" s="28"/>
      <c r="F96" s="28"/>
      <c r="G96" s="28"/>
    </row>
    <row r="97" spans="1:7" ht="12.75" x14ac:dyDescent="0.2">
      <c r="A97" s="28"/>
      <c r="B97" s="28"/>
      <c r="C97" s="28"/>
      <c r="D97" s="28"/>
      <c r="E97" s="28"/>
      <c r="F97" s="28"/>
      <c r="G97" s="28"/>
    </row>
    <row r="98" spans="1:7" ht="12.75" x14ac:dyDescent="0.2">
      <c r="A98" s="28"/>
      <c r="B98" s="28"/>
      <c r="C98" s="28"/>
      <c r="D98" s="28"/>
      <c r="E98" s="28"/>
      <c r="F98" s="28"/>
      <c r="G98" s="28"/>
    </row>
    <row r="99" spans="1:7" ht="12.75" x14ac:dyDescent="0.2">
      <c r="A99" s="28"/>
      <c r="B99" s="28"/>
      <c r="C99" s="28"/>
      <c r="D99" s="28"/>
      <c r="E99" s="28"/>
      <c r="F99" s="28"/>
      <c r="G99" s="28"/>
    </row>
    <row r="100" spans="1:7" ht="12.75" x14ac:dyDescent="0.2">
      <c r="A100" s="28"/>
      <c r="B100" s="28"/>
      <c r="C100" s="28"/>
      <c r="D100" s="28"/>
      <c r="E100" s="28"/>
      <c r="F100" s="28"/>
      <c r="G100" s="28"/>
    </row>
    <row r="101" spans="1:7" ht="12.75" x14ac:dyDescent="0.2">
      <c r="A101" s="28"/>
      <c r="B101" s="28"/>
      <c r="C101" s="28"/>
      <c r="D101" s="28"/>
      <c r="E101" s="28"/>
      <c r="F101" s="28"/>
      <c r="G101" s="28"/>
    </row>
    <row r="102" spans="1:7" ht="12.75" x14ac:dyDescent="0.2">
      <c r="A102" s="28"/>
      <c r="B102" s="28"/>
      <c r="C102" s="28"/>
      <c r="D102" s="28"/>
      <c r="E102" s="28"/>
      <c r="F102" s="28"/>
      <c r="G102" s="28"/>
    </row>
    <row r="103" spans="1:7" ht="12.75" x14ac:dyDescent="0.2">
      <c r="A103" s="28"/>
      <c r="B103" s="28"/>
      <c r="C103" s="28"/>
      <c r="D103" s="28"/>
      <c r="E103" s="28"/>
      <c r="F103" s="28"/>
      <c r="G103" s="28"/>
    </row>
    <row r="104" spans="1:7" ht="12.75" x14ac:dyDescent="0.2">
      <c r="A104" s="28"/>
      <c r="B104" s="28"/>
      <c r="C104" s="28"/>
      <c r="D104" s="28"/>
      <c r="E104" s="28"/>
      <c r="F104" s="28"/>
      <c r="G104" s="28"/>
    </row>
    <row r="105" spans="1:7" ht="12.75" x14ac:dyDescent="0.2">
      <c r="A105" s="28"/>
      <c r="B105" s="28"/>
      <c r="C105" s="28"/>
      <c r="D105" s="28"/>
      <c r="E105" s="28"/>
      <c r="F105" s="28"/>
      <c r="G105" s="28"/>
    </row>
    <row r="106" spans="1:7" ht="12.75" x14ac:dyDescent="0.2">
      <c r="A106" s="28"/>
      <c r="B106" s="28"/>
      <c r="C106" s="28"/>
      <c r="D106" s="28"/>
      <c r="E106" s="28"/>
      <c r="F106" s="28"/>
      <c r="G106" s="28"/>
    </row>
    <row r="107" spans="1:7" ht="12.75" x14ac:dyDescent="0.2">
      <c r="A107" s="28"/>
      <c r="B107" s="28"/>
      <c r="C107" s="28"/>
      <c r="D107" s="28"/>
      <c r="E107" s="28"/>
      <c r="F107" s="28"/>
      <c r="G107" s="28"/>
    </row>
    <row r="108" spans="1:7" ht="12.75" x14ac:dyDescent="0.2">
      <c r="A108" s="28"/>
      <c r="B108" s="28"/>
      <c r="C108" s="28"/>
      <c r="D108" s="28"/>
      <c r="E108" s="28"/>
      <c r="F108" s="28"/>
      <c r="G108" s="28"/>
    </row>
    <row r="109" spans="1:7" ht="12.75" x14ac:dyDescent="0.2">
      <c r="A109" s="28"/>
      <c r="B109" s="28"/>
      <c r="C109" s="28"/>
      <c r="D109" s="28"/>
      <c r="E109" s="28"/>
      <c r="F109" s="28"/>
      <c r="G109" s="28"/>
    </row>
    <row r="110" spans="1:7" ht="12.75" x14ac:dyDescent="0.2">
      <c r="A110" s="28"/>
      <c r="B110" s="28"/>
      <c r="C110" s="28"/>
      <c r="D110" s="28"/>
      <c r="E110" s="28"/>
      <c r="F110" s="28"/>
      <c r="G110" s="28"/>
    </row>
    <row r="111" spans="1:7" ht="12.75" x14ac:dyDescent="0.2">
      <c r="A111" s="28"/>
      <c r="B111" s="28"/>
      <c r="C111" s="28"/>
      <c r="D111" s="28"/>
      <c r="E111" s="28"/>
      <c r="F111" s="28"/>
      <c r="G111" s="28"/>
    </row>
    <row r="112" spans="1:7" ht="12.75" x14ac:dyDescent="0.2">
      <c r="A112" s="28"/>
      <c r="B112" s="28"/>
      <c r="C112" s="28"/>
      <c r="D112" s="28"/>
      <c r="E112" s="28"/>
      <c r="F112" s="28"/>
      <c r="G112" s="28"/>
    </row>
    <row r="113" spans="1:7" ht="12.75" x14ac:dyDescent="0.2">
      <c r="A113" s="28"/>
      <c r="B113" s="28"/>
      <c r="C113" s="28"/>
      <c r="D113" s="28"/>
      <c r="E113" s="28"/>
      <c r="F113" s="28"/>
      <c r="G113" s="28"/>
    </row>
    <row r="114" spans="1:7" ht="12.75" x14ac:dyDescent="0.2">
      <c r="A114" s="28"/>
      <c r="B114" s="28"/>
      <c r="C114" s="28"/>
      <c r="D114" s="28"/>
      <c r="E114" s="28"/>
      <c r="F114" s="28"/>
      <c r="G114" s="28"/>
    </row>
    <row r="115" spans="1:7" ht="12.75" x14ac:dyDescent="0.2">
      <c r="A115" s="28"/>
      <c r="B115" s="28"/>
      <c r="C115" s="28"/>
      <c r="D115" s="28"/>
      <c r="E115" s="28"/>
      <c r="F115" s="28"/>
      <c r="G115" s="28"/>
    </row>
    <row r="116" spans="1:7" ht="12.75" x14ac:dyDescent="0.2">
      <c r="A116" s="28"/>
      <c r="B116" s="28"/>
      <c r="C116" s="28"/>
      <c r="D116" s="28"/>
      <c r="E116" s="28"/>
      <c r="F116" s="28"/>
      <c r="G116" s="28"/>
    </row>
    <row r="117" spans="1:7" ht="12.75" x14ac:dyDescent="0.2">
      <c r="A117" s="28"/>
      <c r="B117" s="28"/>
      <c r="C117" s="28"/>
      <c r="D117" s="28"/>
      <c r="E117" s="28"/>
      <c r="F117" s="28"/>
      <c r="G117" s="28"/>
    </row>
    <row r="118" spans="1:7" ht="12.75" x14ac:dyDescent="0.2">
      <c r="A118" s="28"/>
      <c r="B118" s="28"/>
      <c r="C118" s="28"/>
      <c r="D118" s="28"/>
      <c r="E118" s="28"/>
      <c r="F118" s="28"/>
      <c r="G118" s="28"/>
    </row>
    <row r="119" spans="1:7" ht="12.75" x14ac:dyDescent="0.2">
      <c r="A119" s="28"/>
      <c r="B119" s="28"/>
      <c r="C119" s="28"/>
      <c r="D119" s="28"/>
      <c r="E119" s="28"/>
      <c r="F119" s="28"/>
      <c r="G119" s="28"/>
    </row>
    <row r="120" spans="1:7" ht="12.75" x14ac:dyDescent="0.2">
      <c r="A120" s="28"/>
      <c r="B120" s="28"/>
      <c r="C120" s="28"/>
      <c r="D120" s="28"/>
      <c r="E120" s="28"/>
      <c r="F120" s="28"/>
      <c r="G120" s="28"/>
    </row>
    <row r="121" spans="1:7" ht="12.75" x14ac:dyDescent="0.2">
      <c r="A121" s="28"/>
      <c r="B121" s="28"/>
      <c r="C121" s="28"/>
      <c r="D121" s="28"/>
      <c r="E121" s="28"/>
      <c r="F121" s="28"/>
      <c r="G121" s="28"/>
    </row>
    <row r="122" spans="1:7" ht="12.75" x14ac:dyDescent="0.2">
      <c r="A122" s="28"/>
      <c r="B122" s="28"/>
      <c r="C122" s="28"/>
      <c r="D122" s="28"/>
      <c r="E122" s="28"/>
      <c r="F122" s="28"/>
      <c r="G122" s="28"/>
    </row>
    <row r="123" spans="1:7" ht="12.75" x14ac:dyDescent="0.2">
      <c r="A123" s="28"/>
      <c r="B123" s="28"/>
      <c r="C123" s="28"/>
      <c r="D123" s="28"/>
      <c r="E123" s="28"/>
      <c r="F123" s="28"/>
      <c r="G123" s="28"/>
    </row>
    <row r="124" spans="1:7" ht="12.75" x14ac:dyDescent="0.2">
      <c r="A124" s="28"/>
      <c r="B124" s="28"/>
      <c r="C124" s="28"/>
      <c r="D124" s="28"/>
      <c r="E124" s="28"/>
      <c r="F124" s="28"/>
      <c r="G124" s="28"/>
    </row>
    <row r="125" spans="1:7" ht="12.75" x14ac:dyDescent="0.2">
      <c r="A125" s="28"/>
      <c r="B125" s="28"/>
      <c r="C125" s="28"/>
      <c r="D125" s="28"/>
      <c r="E125" s="28"/>
      <c r="F125" s="28"/>
      <c r="G125" s="28"/>
    </row>
    <row r="126" spans="1:7" ht="12.75" x14ac:dyDescent="0.2">
      <c r="A126" s="28"/>
      <c r="B126" s="28"/>
      <c r="C126" s="28"/>
      <c r="D126" s="28"/>
      <c r="E126" s="28"/>
      <c r="F126" s="28"/>
      <c r="G126" s="28"/>
    </row>
    <row r="127" spans="1:7" ht="12.75" x14ac:dyDescent="0.2">
      <c r="A127" s="28"/>
      <c r="B127" s="28"/>
      <c r="C127" s="28"/>
      <c r="D127" s="28"/>
      <c r="E127" s="28"/>
      <c r="F127" s="28"/>
      <c r="G127" s="28"/>
    </row>
    <row r="128" spans="1:7" ht="12.75" x14ac:dyDescent="0.2">
      <c r="A128" s="28"/>
      <c r="B128" s="28"/>
      <c r="C128" s="28"/>
      <c r="D128" s="28"/>
      <c r="E128" s="28"/>
      <c r="F128" s="28"/>
      <c r="G128" s="28"/>
    </row>
    <row r="129" spans="1:7" ht="12.75" x14ac:dyDescent="0.2">
      <c r="A129" s="28"/>
      <c r="B129" s="28"/>
      <c r="C129" s="28"/>
      <c r="D129" s="28"/>
      <c r="E129" s="28"/>
      <c r="F129" s="28"/>
      <c r="G129" s="28"/>
    </row>
    <row r="130" spans="1:7" ht="12.75" x14ac:dyDescent="0.2">
      <c r="A130" s="28"/>
      <c r="B130" s="28"/>
      <c r="C130" s="28"/>
      <c r="D130" s="28"/>
      <c r="E130" s="28"/>
      <c r="F130" s="28"/>
      <c r="G130" s="28"/>
    </row>
    <row r="131" spans="1:7" ht="12.75" x14ac:dyDescent="0.2">
      <c r="A131" s="28"/>
      <c r="B131" s="28"/>
      <c r="C131" s="28"/>
      <c r="D131" s="28"/>
      <c r="E131" s="28"/>
      <c r="F131" s="28"/>
      <c r="G131" s="28"/>
    </row>
    <row r="132" spans="1:7" ht="12.75" x14ac:dyDescent="0.2">
      <c r="A132" s="28"/>
      <c r="B132" s="28"/>
      <c r="C132" s="28"/>
      <c r="D132" s="28"/>
      <c r="E132" s="28"/>
      <c r="F132" s="28"/>
      <c r="G132" s="28"/>
    </row>
    <row r="133" spans="1:7" ht="12.75" x14ac:dyDescent="0.2">
      <c r="A133" s="28"/>
      <c r="B133" s="28"/>
      <c r="C133" s="28"/>
      <c r="D133" s="28"/>
      <c r="E133" s="28"/>
      <c r="F133" s="28"/>
      <c r="G133" s="28"/>
    </row>
    <row r="134" spans="1:7" ht="12.75" x14ac:dyDescent="0.2">
      <c r="A134" s="28"/>
      <c r="B134" s="28"/>
      <c r="C134" s="28"/>
      <c r="D134" s="28"/>
      <c r="E134" s="28"/>
      <c r="F134" s="28"/>
      <c r="G134" s="28"/>
    </row>
    <row r="135" spans="1:7" ht="12.75" x14ac:dyDescent="0.2">
      <c r="A135" s="28"/>
      <c r="B135" s="28"/>
      <c r="C135" s="28"/>
      <c r="D135" s="28"/>
      <c r="E135" s="28"/>
      <c r="F135" s="28"/>
      <c r="G135" s="28"/>
    </row>
    <row r="136" spans="1:7" ht="12.75" x14ac:dyDescent="0.2">
      <c r="A136" s="28"/>
      <c r="B136" s="28"/>
      <c r="C136" s="28"/>
      <c r="D136" s="28"/>
      <c r="E136" s="28"/>
      <c r="F136" s="28"/>
      <c r="G136" s="28"/>
    </row>
    <row r="137" spans="1:7" ht="12.75" x14ac:dyDescent="0.2">
      <c r="A137" s="28"/>
      <c r="B137" s="28"/>
      <c r="C137" s="28"/>
      <c r="D137" s="28"/>
      <c r="E137" s="28"/>
      <c r="F137" s="28"/>
      <c r="G137" s="28"/>
    </row>
    <row r="138" spans="1:7" ht="12.75" x14ac:dyDescent="0.2">
      <c r="A138" s="28"/>
      <c r="B138" s="28"/>
      <c r="C138" s="28"/>
      <c r="D138" s="28"/>
      <c r="E138" s="28"/>
      <c r="F138" s="28"/>
      <c r="G138" s="28"/>
    </row>
    <row r="139" spans="1:7" ht="12.75" x14ac:dyDescent="0.2">
      <c r="A139" s="28"/>
      <c r="B139" s="28"/>
      <c r="C139" s="28"/>
      <c r="D139" s="28"/>
      <c r="E139" s="28"/>
      <c r="F139" s="28"/>
      <c r="G139" s="28"/>
    </row>
    <row r="140" spans="1:7" ht="12.75" x14ac:dyDescent="0.2">
      <c r="A140" s="28"/>
      <c r="B140" s="28"/>
      <c r="C140" s="28"/>
      <c r="D140" s="28"/>
      <c r="E140" s="28"/>
      <c r="F140" s="28"/>
      <c r="G140" s="28"/>
    </row>
    <row r="141" spans="1:7" ht="12.75" x14ac:dyDescent="0.2">
      <c r="A141" s="28"/>
      <c r="B141" s="28"/>
      <c r="C141" s="28"/>
      <c r="D141" s="28"/>
      <c r="E141" s="28"/>
      <c r="F141" s="28"/>
      <c r="G141" s="28"/>
    </row>
    <row r="142" spans="1:7" ht="12.75" x14ac:dyDescent="0.2">
      <c r="A142" s="28"/>
      <c r="B142" s="28"/>
      <c r="C142" s="28"/>
      <c r="D142" s="28"/>
      <c r="E142" s="28"/>
      <c r="F142" s="28"/>
      <c r="G142" s="28"/>
    </row>
    <row r="143" spans="1:7" ht="12.75" x14ac:dyDescent="0.2">
      <c r="A143" s="28"/>
      <c r="B143" s="28"/>
      <c r="C143" s="28"/>
      <c r="D143" s="28"/>
      <c r="E143" s="28"/>
      <c r="F143" s="28"/>
      <c r="G143" s="28"/>
    </row>
    <row r="144" spans="1:7" ht="12.75" x14ac:dyDescent="0.2">
      <c r="A144" s="28"/>
      <c r="B144" s="28"/>
      <c r="C144" s="28"/>
      <c r="D144" s="28"/>
      <c r="E144" s="28"/>
      <c r="F144" s="28"/>
      <c r="G144" s="28"/>
    </row>
    <row r="145" spans="1:7" ht="12.75" x14ac:dyDescent="0.2">
      <c r="A145" s="28"/>
      <c r="B145" s="28"/>
      <c r="C145" s="28"/>
      <c r="D145" s="28"/>
      <c r="E145" s="28"/>
      <c r="F145" s="28"/>
      <c r="G145" s="28"/>
    </row>
    <row r="146" spans="1:7" ht="12.75" x14ac:dyDescent="0.2">
      <c r="A146" s="28"/>
      <c r="B146" s="28"/>
      <c r="C146" s="28"/>
      <c r="D146" s="28"/>
      <c r="E146" s="28"/>
      <c r="F146" s="28"/>
      <c r="G146" s="28"/>
    </row>
    <row r="147" spans="1:7" ht="12.75" x14ac:dyDescent="0.2">
      <c r="A147" s="28"/>
      <c r="B147" s="28"/>
      <c r="C147" s="28"/>
      <c r="D147" s="28"/>
      <c r="E147" s="28"/>
      <c r="F147" s="28"/>
      <c r="G147" s="28"/>
    </row>
    <row r="148" spans="1:7" ht="12.75" x14ac:dyDescent="0.2">
      <c r="A148" s="28"/>
      <c r="B148" s="28"/>
      <c r="C148" s="28"/>
      <c r="D148" s="28"/>
      <c r="E148" s="28"/>
      <c r="F148" s="28"/>
      <c r="G148" s="28"/>
    </row>
    <row r="149" spans="1:7" ht="12.75" x14ac:dyDescent="0.2">
      <c r="A149" s="28"/>
      <c r="B149" s="28"/>
      <c r="C149" s="28"/>
      <c r="D149" s="28"/>
      <c r="E149" s="28"/>
      <c r="F149" s="28"/>
      <c r="G149" s="28"/>
    </row>
    <row r="150" spans="1:7" ht="12.75" x14ac:dyDescent="0.2">
      <c r="A150" s="28"/>
      <c r="B150" s="28"/>
      <c r="C150" s="28"/>
      <c r="D150" s="28"/>
      <c r="E150" s="28"/>
      <c r="F150" s="28"/>
      <c r="G150" s="28"/>
    </row>
    <row r="151" spans="1:7" ht="12.75" x14ac:dyDescent="0.2">
      <c r="A151" s="28"/>
      <c r="B151" s="28"/>
      <c r="C151" s="28"/>
      <c r="D151" s="28"/>
      <c r="E151" s="28"/>
      <c r="F151" s="28"/>
      <c r="G151" s="28"/>
    </row>
    <row r="152" spans="1:7" ht="12.75" x14ac:dyDescent="0.2">
      <c r="A152" s="28"/>
      <c r="B152" s="28"/>
      <c r="C152" s="28"/>
      <c r="D152" s="28"/>
      <c r="E152" s="28"/>
      <c r="F152" s="28"/>
      <c r="G152" s="28"/>
    </row>
    <row r="153" spans="1:7" ht="12.75" x14ac:dyDescent="0.2">
      <c r="A153" s="28"/>
      <c r="B153" s="28"/>
      <c r="C153" s="28"/>
      <c r="D153" s="28"/>
      <c r="E153" s="28"/>
      <c r="F153" s="28"/>
      <c r="G153" s="28"/>
    </row>
    <row r="154" spans="1:7" ht="12.75" x14ac:dyDescent="0.2">
      <c r="A154" s="28"/>
      <c r="B154" s="28"/>
      <c r="C154" s="28"/>
      <c r="D154" s="28"/>
      <c r="E154" s="28"/>
      <c r="F154" s="28"/>
      <c r="G154" s="28"/>
    </row>
    <row r="155" spans="1:7" ht="12.75" x14ac:dyDescent="0.2">
      <c r="A155" s="28"/>
      <c r="B155" s="28"/>
      <c r="C155" s="28"/>
      <c r="D155" s="28"/>
      <c r="E155" s="28"/>
      <c r="F155" s="28"/>
      <c r="G155" s="28"/>
    </row>
    <row r="156" spans="1:7" ht="12.75" x14ac:dyDescent="0.2">
      <c r="A156" s="28"/>
      <c r="B156" s="28"/>
      <c r="C156" s="28"/>
      <c r="D156" s="28"/>
      <c r="E156" s="28"/>
      <c r="F156" s="28"/>
      <c r="G156" s="28"/>
    </row>
    <row r="157" spans="1:7" ht="12.75" x14ac:dyDescent="0.2">
      <c r="A157" s="28"/>
      <c r="B157" s="28"/>
      <c r="C157" s="28"/>
      <c r="D157" s="28"/>
      <c r="E157" s="28"/>
      <c r="F157" s="28"/>
      <c r="G157" s="28"/>
    </row>
    <row r="158" spans="1:7" ht="12.75" x14ac:dyDescent="0.2">
      <c r="A158" s="28"/>
      <c r="B158" s="28"/>
      <c r="C158" s="28"/>
      <c r="D158" s="28"/>
      <c r="E158" s="28"/>
      <c r="F158" s="28"/>
      <c r="G158" s="28"/>
    </row>
    <row r="159" spans="1:7" ht="12.75" x14ac:dyDescent="0.2">
      <c r="A159" s="28"/>
      <c r="B159" s="28"/>
      <c r="C159" s="28"/>
      <c r="D159" s="28"/>
      <c r="E159" s="28"/>
      <c r="F159" s="28"/>
      <c r="G159" s="28"/>
    </row>
    <row r="160" spans="1:7" ht="12.75" x14ac:dyDescent="0.2">
      <c r="A160" s="28"/>
      <c r="B160" s="28"/>
      <c r="C160" s="28"/>
      <c r="D160" s="28"/>
      <c r="E160" s="28"/>
      <c r="F160" s="28"/>
      <c r="G160" s="28"/>
    </row>
    <row r="161" spans="1:7" ht="12.75" x14ac:dyDescent="0.2">
      <c r="A161" s="28"/>
      <c r="B161" s="28"/>
      <c r="C161" s="28"/>
      <c r="D161" s="28"/>
      <c r="E161" s="28"/>
      <c r="F161" s="28"/>
      <c r="G161" s="28"/>
    </row>
    <row r="162" spans="1:7" ht="12.75" x14ac:dyDescent="0.2">
      <c r="A162" s="28"/>
      <c r="B162" s="28"/>
      <c r="C162" s="28"/>
      <c r="D162" s="28"/>
      <c r="E162" s="28"/>
      <c r="F162" s="28"/>
      <c r="G162" s="28"/>
    </row>
    <row r="163" spans="1:7" ht="12.75" x14ac:dyDescent="0.2">
      <c r="A163" s="28"/>
      <c r="B163" s="28"/>
      <c r="C163" s="28"/>
      <c r="D163" s="28"/>
      <c r="E163" s="28"/>
      <c r="F163" s="28"/>
      <c r="G163" s="28"/>
    </row>
    <row r="164" spans="1:7" ht="12.75" x14ac:dyDescent="0.2">
      <c r="A164" s="28"/>
      <c r="B164" s="28"/>
      <c r="C164" s="28"/>
      <c r="D164" s="28"/>
      <c r="E164" s="28"/>
      <c r="F164" s="28"/>
      <c r="G164" s="28"/>
    </row>
    <row r="165" spans="1:7" ht="12.75" x14ac:dyDescent="0.2">
      <c r="A165" s="28"/>
      <c r="B165" s="28"/>
      <c r="C165" s="28"/>
      <c r="D165" s="28"/>
      <c r="E165" s="28"/>
      <c r="F165" s="28"/>
      <c r="G165" s="28"/>
    </row>
    <row r="166" spans="1:7" ht="12.75" x14ac:dyDescent="0.2">
      <c r="A166" s="28"/>
      <c r="B166" s="28"/>
      <c r="C166" s="28"/>
      <c r="D166" s="28"/>
      <c r="E166" s="28"/>
      <c r="F166" s="28"/>
      <c r="G166" s="28"/>
    </row>
    <row r="167" spans="1:7" ht="12.75" x14ac:dyDescent="0.2">
      <c r="A167" s="28"/>
      <c r="B167" s="28"/>
      <c r="C167" s="28"/>
      <c r="D167" s="28"/>
      <c r="E167" s="28"/>
      <c r="F167" s="28"/>
      <c r="G167" s="28"/>
    </row>
    <row r="168" spans="1:7" ht="12.75" x14ac:dyDescent="0.2">
      <c r="A168" s="28"/>
      <c r="B168" s="28"/>
      <c r="C168" s="28"/>
      <c r="D168" s="28"/>
      <c r="E168" s="28"/>
      <c r="F168" s="28"/>
      <c r="G168" s="28"/>
    </row>
    <row r="169" spans="1:7" ht="12.75" x14ac:dyDescent="0.2">
      <c r="A169" s="28"/>
      <c r="B169" s="28"/>
      <c r="C169" s="28"/>
      <c r="D169" s="28"/>
      <c r="E169" s="28"/>
      <c r="F169" s="28"/>
      <c r="G169" s="28"/>
    </row>
    <row r="170" spans="1:7" ht="12.75" x14ac:dyDescent="0.2">
      <c r="A170" s="28"/>
      <c r="B170" s="28"/>
      <c r="C170" s="28"/>
      <c r="D170" s="28"/>
      <c r="E170" s="28"/>
      <c r="F170" s="28"/>
      <c r="G170" s="28"/>
    </row>
    <row r="171" spans="1:7" ht="12.75" x14ac:dyDescent="0.2">
      <c r="A171" s="28"/>
      <c r="B171" s="28"/>
      <c r="C171" s="28"/>
      <c r="D171" s="28"/>
      <c r="E171" s="28"/>
      <c r="F171" s="28"/>
      <c r="G171" s="28"/>
    </row>
    <row r="172" spans="1:7" ht="12.75" x14ac:dyDescent="0.2">
      <c r="A172" s="28"/>
      <c r="B172" s="28"/>
      <c r="C172" s="28"/>
      <c r="D172" s="28"/>
      <c r="E172" s="28"/>
      <c r="F172" s="28"/>
      <c r="G172" s="28"/>
    </row>
    <row r="173" spans="1:7" ht="12.75" x14ac:dyDescent="0.2">
      <c r="A173" s="28"/>
      <c r="B173" s="28"/>
      <c r="C173" s="28"/>
      <c r="D173" s="28"/>
      <c r="E173" s="28"/>
      <c r="F173" s="28"/>
      <c r="G173" s="28"/>
    </row>
    <row r="174" spans="1:7" ht="12.75" x14ac:dyDescent="0.2">
      <c r="A174" s="28"/>
      <c r="B174" s="28"/>
      <c r="C174" s="28"/>
      <c r="D174" s="28"/>
      <c r="E174" s="28"/>
      <c r="F174" s="28"/>
      <c r="G174" s="28"/>
    </row>
    <row r="175" spans="1:7" ht="12.75" x14ac:dyDescent="0.2">
      <c r="A175" s="28"/>
      <c r="B175" s="28"/>
      <c r="C175" s="28"/>
      <c r="D175" s="28"/>
      <c r="E175" s="28"/>
      <c r="F175" s="28"/>
      <c r="G175" s="28"/>
    </row>
    <row r="176" spans="1:7" ht="12.75" x14ac:dyDescent="0.2">
      <c r="A176" s="28"/>
      <c r="B176" s="28"/>
      <c r="C176" s="28"/>
      <c r="D176" s="28"/>
      <c r="E176" s="28"/>
      <c r="F176" s="28"/>
      <c r="G176" s="28"/>
    </row>
    <row r="177" spans="1:7" ht="12.75" x14ac:dyDescent="0.2">
      <c r="A177" s="28"/>
      <c r="B177" s="28"/>
      <c r="C177" s="28"/>
      <c r="D177" s="28"/>
      <c r="E177" s="28"/>
      <c r="F177" s="28"/>
      <c r="G177" s="28"/>
    </row>
    <row r="178" spans="1:7" ht="12.75" x14ac:dyDescent="0.2">
      <c r="A178" s="28"/>
      <c r="B178" s="28"/>
      <c r="C178" s="28"/>
      <c r="D178" s="28"/>
      <c r="E178" s="28"/>
      <c r="F178" s="28"/>
      <c r="G178" s="28"/>
    </row>
    <row r="179" spans="1:7" ht="12.75" x14ac:dyDescent="0.2">
      <c r="A179" s="28"/>
      <c r="B179" s="28"/>
      <c r="C179" s="28"/>
      <c r="D179" s="28"/>
      <c r="E179" s="28"/>
      <c r="F179" s="28"/>
      <c r="G179" s="28"/>
    </row>
    <row r="180" spans="1:7" ht="12.75" x14ac:dyDescent="0.2">
      <c r="A180" s="28"/>
      <c r="B180" s="28"/>
      <c r="C180" s="28"/>
      <c r="D180" s="28"/>
      <c r="E180" s="28"/>
      <c r="F180" s="28"/>
      <c r="G180" s="28"/>
    </row>
    <row r="181" spans="1:7" ht="12.75" x14ac:dyDescent="0.2">
      <c r="A181" s="28"/>
      <c r="B181" s="28"/>
      <c r="C181" s="28"/>
      <c r="D181" s="28"/>
      <c r="E181" s="28"/>
      <c r="F181" s="28"/>
      <c r="G181" s="28"/>
    </row>
    <row r="182" spans="1:7" ht="12.75" x14ac:dyDescent="0.2">
      <c r="A182" s="28"/>
      <c r="B182" s="28"/>
      <c r="C182" s="28"/>
      <c r="D182" s="28"/>
      <c r="E182" s="28"/>
      <c r="F182" s="28"/>
      <c r="G182" s="28"/>
    </row>
    <row r="183" spans="1:7" ht="12.75" x14ac:dyDescent="0.2">
      <c r="A183" s="28"/>
      <c r="B183" s="28"/>
      <c r="C183" s="28"/>
      <c r="D183" s="28"/>
      <c r="E183" s="28"/>
      <c r="F183" s="28"/>
      <c r="G183" s="28"/>
    </row>
    <row r="184" spans="1:7" ht="12.75" x14ac:dyDescent="0.2">
      <c r="A184" s="28"/>
      <c r="B184" s="28"/>
      <c r="C184" s="28"/>
      <c r="D184" s="28"/>
      <c r="E184" s="28"/>
      <c r="F184" s="28"/>
      <c r="G184" s="28"/>
    </row>
    <row r="185" spans="1:7" ht="12.75" x14ac:dyDescent="0.2">
      <c r="A185" s="28"/>
      <c r="B185" s="28"/>
      <c r="C185" s="28"/>
      <c r="D185" s="28"/>
      <c r="E185" s="28"/>
      <c r="F185" s="28"/>
      <c r="G185" s="28"/>
    </row>
    <row r="186" spans="1:7" ht="12.75" x14ac:dyDescent="0.2">
      <c r="A186" s="28"/>
      <c r="B186" s="28"/>
      <c r="C186" s="28"/>
      <c r="D186" s="28"/>
      <c r="E186" s="28"/>
      <c r="F186" s="28"/>
      <c r="G186" s="28"/>
    </row>
    <row r="187" spans="1:7" ht="12.75" x14ac:dyDescent="0.2">
      <c r="A187" s="28"/>
      <c r="B187" s="28"/>
      <c r="C187" s="28"/>
      <c r="D187" s="28"/>
      <c r="E187" s="28"/>
      <c r="F187" s="28"/>
      <c r="G187" s="28"/>
    </row>
    <row r="188" spans="1:7" ht="12.75" x14ac:dyDescent="0.2">
      <c r="A188" s="28"/>
      <c r="B188" s="28"/>
      <c r="C188" s="28"/>
      <c r="D188" s="28"/>
      <c r="E188" s="28"/>
      <c r="F188" s="28"/>
      <c r="G188" s="28"/>
    </row>
    <row r="189" spans="1:7" ht="12.75" x14ac:dyDescent="0.2">
      <c r="A189" s="28"/>
      <c r="B189" s="28"/>
      <c r="C189" s="28"/>
      <c r="D189" s="28"/>
      <c r="E189" s="28"/>
      <c r="F189" s="28"/>
      <c r="G189" s="28"/>
    </row>
    <row r="190" spans="1:7" ht="12.75" x14ac:dyDescent="0.2">
      <c r="A190" s="28"/>
      <c r="B190" s="28"/>
      <c r="C190" s="28"/>
      <c r="D190" s="28"/>
      <c r="E190" s="28"/>
      <c r="F190" s="28"/>
      <c r="G190" s="28"/>
    </row>
    <row r="191" spans="1:7" ht="12.75" x14ac:dyDescent="0.2">
      <c r="A191" s="28"/>
      <c r="B191" s="28"/>
      <c r="C191" s="28"/>
      <c r="D191" s="28"/>
      <c r="E191" s="28"/>
      <c r="F191" s="28"/>
      <c r="G191" s="28"/>
    </row>
    <row r="192" spans="1:7" ht="12.75" x14ac:dyDescent="0.2">
      <c r="A192" s="28"/>
      <c r="B192" s="28"/>
      <c r="C192" s="28"/>
      <c r="D192" s="28"/>
      <c r="E192" s="28"/>
      <c r="F192" s="28"/>
      <c r="G192" s="28"/>
    </row>
    <row r="193" spans="1:7" ht="12.75" x14ac:dyDescent="0.2">
      <c r="A193" s="28"/>
      <c r="B193" s="28"/>
      <c r="C193" s="28"/>
      <c r="D193" s="28"/>
      <c r="E193" s="28"/>
      <c r="F193" s="28"/>
      <c r="G193" s="28"/>
    </row>
    <row r="194" spans="1:7" ht="12.75" x14ac:dyDescent="0.2">
      <c r="A194" s="28"/>
      <c r="B194" s="28"/>
      <c r="C194" s="28"/>
      <c r="D194" s="28"/>
      <c r="E194" s="28"/>
      <c r="F194" s="28"/>
      <c r="G194" s="28"/>
    </row>
    <row r="195" spans="1:7" ht="12.75" x14ac:dyDescent="0.2">
      <c r="A195" s="28"/>
      <c r="B195" s="28"/>
      <c r="C195" s="28"/>
      <c r="D195" s="28"/>
      <c r="E195" s="28"/>
      <c r="F195" s="28"/>
      <c r="G195" s="28"/>
    </row>
    <row r="196" spans="1:7" ht="12.75" x14ac:dyDescent="0.2">
      <c r="A196" s="28"/>
      <c r="B196" s="28"/>
      <c r="C196" s="28"/>
      <c r="D196" s="28"/>
      <c r="E196" s="28"/>
      <c r="F196" s="28"/>
      <c r="G196" s="28"/>
    </row>
    <row r="197" spans="1:7" ht="12.75" x14ac:dyDescent="0.2">
      <c r="A197" s="28"/>
      <c r="B197" s="28"/>
      <c r="C197" s="28"/>
      <c r="D197" s="28"/>
      <c r="E197" s="28"/>
      <c r="F197" s="28"/>
      <c r="G197" s="28"/>
    </row>
    <row r="198" spans="1:7" ht="12.75" x14ac:dyDescent="0.2">
      <c r="A198" s="28"/>
      <c r="B198" s="28"/>
      <c r="C198" s="28"/>
      <c r="D198" s="28"/>
      <c r="E198" s="28"/>
      <c r="F198" s="28"/>
      <c r="G198" s="28"/>
    </row>
    <row r="199" spans="1:7" ht="12.75" x14ac:dyDescent="0.2">
      <c r="A199" s="28"/>
      <c r="B199" s="28"/>
      <c r="C199" s="28"/>
      <c r="D199" s="28"/>
      <c r="E199" s="28"/>
      <c r="F199" s="28"/>
      <c r="G199" s="28"/>
    </row>
    <row r="200" spans="1:7" ht="12.75" x14ac:dyDescent="0.2">
      <c r="A200" s="28"/>
      <c r="B200" s="28"/>
      <c r="C200" s="28"/>
      <c r="D200" s="28"/>
      <c r="E200" s="28"/>
      <c r="F200" s="28"/>
      <c r="G200" s="28"/>
    </row>
    <row r="201" spans="1:7" ht="12.75" x14ac:dyDescent="0.2">
      <c r="A201" s="28"/>
      <c r="B201" s="28"/>
      <c r="C201" s="28"/>
      <c r="D201" s="28"/>
      <c r="E201" s="28"/>
      <c r="F201" s="28"/>
      <c r="G201" s="28"/>
    </row>
    <row r="202" spans="1:7" ht="12.75" x14ac:dyDescent="0.2">
      <c r="A202" s="28"/>
      <c r="B202" s="28"/>
      <c r="C202" s="28"/>
      <c r="D202" s="28"/>
      <c r="E202" s="28"/>
      <c r="F202" s="28"/>
      <c r="G202" s="28"/>
    </row>
    <row r="203" spans="1:7" ht="12.75" x14ac:dyDescent="0.2">
      <c r="A203" s="28"/>
      <c r="B203" s="28"/>
      <c r="C203" s="28"/>
      <c r="D203" s="28"/>
      <c r="E203" s="28"/>
      <c r="F203" s="28"/>
      <c r="G203" s="28"/>
    </row>
    <row r="204" spans="1:7" ht="12.75" x14ac:dyDescent="0.2">
      <c r="A204" s="28"/>
      <c r="B204" s="28"/>
      <c r="C204" s="28"/>
      <c r="D204" s="28"/>
      <c r="E204" s="28"/>
      <c r="F204" s="28"/>
      <c r="G204" s="28"/>
    </row>
    <row r="205" spans="1:7" ht="12.75" x14ac:dyDescent="0.2">
      <c r="A205" s="28"/>
      <c r="B205" s="28"/>
      <c r="C205" s="28"/>
      <c r="D205" s="28"/>
      <c r="E205" s="28"/>
      <c r="F205" s="28"/>
      <c r="G205" s="28"/>
    </row>
    <row r="206" spans="1:7" ht="12.75" x14ac:dyDescent="0.2">
      <c r="A206" s="28"/>
      <c r="B206" s="28"/>
      <c r="C206" s="28"/>
      <c r="D206" s="28"/>
      <c r="E206" s="28"/>
      <c r="F206" s="28"/>
      <c r="G206" s="28"/>
    </row>
    <row r="207" spans="1:7" ht="12.75" x14ac:dyDescent="0.2">
      <c r="A207" s="28"/>
      <c r="B207" s="28"/>
      <c r="C207" s="28"/>
      <c r="D207" s="28"/>
      <c r="E207" s="28"/>
      <c r="F207" s="28"/>
      <c r="G207" s="28"/>
    </row>
    <row r="208" spans="1:7" ht="12.75" x14ac:dyDescent="0.2">
      <c r="A208" s="28"/>
      <c r="B208" s="28"/>
      <c r="C208" s="28"/>
      <c r="D208" s="28"/>
      <c r="E208" s="28"/>
      <c r="F208" s="28"/>
      <c r="G208" s="28"/>
    </row>
    <row r="209" spans="1:7" ht="12.75" x14ac:dyDescent="0.2">
      <c r="A209" s="28"/>
      <c r="B209" s="28"/>
      <c r="C209" s="28"/>
      <c r="D209" s="28"/>
      <c r="E209" s="28"/>
      <c r="F209" s="28"/>
      <c r="G209" s="28"/>
    </row>
    <row r="210" spans="1:7" ht="12.75" x14ac:dyDescent="0.2">
      <c r="A210" s="28"/>
      <c r="B210" s="28"/>
      <c r="C210" s="28"/>
      <c r="D210" s="28"/>
      <c r="E210" s="28"/>
      <c r="F210" s="28"/>
      <c r="G210" s="28"/>
    </row>
    <row r="211" spans="1:7" ht="12.75" x14ac:dyDescent="0.2">
      <c r="A211" s="28"/>
      <c r="B211" s="28"/>
      <c r="C211" s="28"/>
      <c r="D211" s="28"/>
      <c r="E211" s="28"/>
      <c r="F211" s="28"/>
      <c r="G211" s="28"/>
    </row>
    <row r="212" spans="1:7" ht="12.75" x14ac:dyDescent="0.2">
      <c r="A212" s="28"/>
      <c r="B212" s="28"/>
      <c r="C212" s="28"/>
      <c r="D212" s="28"/>
      <c r="E212" s="28"/>
      <c r="F212" s="28"/>
      <c r="G212" s="28"/>
    </row>
    <row r="213" spans="1:7" ht="12.75" x14ac:dyDescent="0.2">
      <c r="A213" s="28"/>
      <c r="B213" s="28"/>
      <c r="C213" s="28"/>
      <c r="D213" s="28"/>
      <c r="E213" s="28"/>
      <c r="F213" s="28"/>
      <c r="G213" s="28"/>
    </row>
    <row r="214" spans="1:7" ht="12.75" x14ac:dyDescent="0.2">
      <c r="A214" s="28"/>
      <c r="B214" s="28"/>
      <c r="C214" s="28"/>
      <c r="D214" s="28"/>
      <c r="E214" s="28"/>
      <c r="F214" s="28"/>
      <c r="G214" s="28"/>
    </row>
    <row r="215" spans="1:7" ht="12.75" x14ac:dyDescent="0.2">
      <c r="A215" s="28"/>
      <c r="B215" s="28"/>
      <c r="C215" s="28"/>
      <c r="D215" s="28"/>
      <c r="E215" s="28"/>
      <c r="F215" s="28"/>
      <c r="G215" s="28"/>
    </row>
    <row r="216" spans="1:7" ht="12.75" x14ac:dyDescent="0.2">
      <c r="A216" s="28"/>
      <c r="B216" s="28"/>
      <c r="C216" s="28"/>
      <c r="D216" s="28"/>
      <c r="E216" s="28"/>
      <c r="F216" s="28"/>
      <c r="G216" s="28"/>
    </row>
    <row r="217" spans="1:7" ht="12.75" x14ac:dyDescent="0.2">
      <c r="A217" s="28"/>
      <c r="B217" s="28"/>
      <c r="C217" s="28"/>
      <c r="D217" s="28"/>
      <c r="E217" s="28"/>
      <c r="F217" s="28"/>
      <c r="G217" s="28"/>
    </row>
    <row r="218" spans="1:7" ht="12.75" x14ac:dyDescent="0.2">
      <c r="A218" s="28"/>
      <c r="B218" s="28"/>
      <c r="C218" s="28"/>
      <c r="D218" s="28"/>
      <c r="E218" s="28"/>
      <c r="F218" s="28"/>
      <c r="G218" s="28"/>
    </row>
    <row r="219" spans="1:7" ht="12.75" x14ac:dyDescent="0.2">
      <c r="A219" s="28"/>
      <c r="B219" s="28"/>
      <c r="C219" s="28"/>
      <c r="D219" s="28"/>
      <c r="E219" s="28"/>
      <c r="F219" s="28"/>
      <c r="G219" s="28"/>
    </row>
    <row r="220" spans="1:7" ht="12.75" x14ac:dyDescent="0.2">
      <c r="A220" s="28"/>
      <c r="B220" s="28"/>
      <c r="C220" s="28"/>
      <c r="D220" s="28"/>
      <c r="E220" s="28"/>
      <c r="F220" s="28"/>
      <c r="G220" s="28"/>
    </row>
    <row r="221" spans="1:7" ht="12.75" x14ac:dyDescent="0.2">
      <c r="A221" s="28"/>
      <c r="B221" s="28"/>
      <c r="C221" s="28"/>
      <c r="D221" s="28"/>
      <c r="E221" s="28"/>
      <c r="F221" s="28"/>
      <c r="G221" s="28"/>
    </row>
    <row r="222" spans="1:7" ht="12.75" x14ac:dyDescent="0.2">
      <c r="A222" s="28"/>
      <c r="B222" s="28"/>
      <c r="C222" s="28"/>
      <c r="D222" s="28"/>
      <c r="E222" s="28"/>
      <c r="F222" s="28"/>
      <c r="G222" s="28"/>
    </row>
    <row r="223" spans="1:7" ht="12.75" x14ac:dyDescent="0.2">
      <c r="A223" s="28"/>
      <c r="B223" s="28"/>
      <c r="C223" s="28"/>
      <c r="D223" s="28"/>
      <c r="E223" s="28"/>
      <c r="F223" s="28"/>
      <c r="G223" s="28"/>
    </row>
    <row r="224" spans="1:7" ht="12.75" x14ac:dyDescent="0.2">
      <c r="A224" s="28"/>
      <c r="B224" s="28"/>
      <c r="C224" s="28"/>
      <c r="D224" s="28"/>
      <c r="E224" s="28"/>
      <c r="F224" s="28"/>
      <c r="G224" s="28"/>
    </row>
    <row r="225" spans="1:7" ht="12.75" x14ac:dyDescent="0.2">
      <c r="A225" s="28"/>
      <c r="B225" s="28"/>
      <c r="C225" s="28"/>
      <c r="D225" s="28"/>
      <c r="E225" s="28"/>
      <c r="F225" s="28"/>
      <c r="G225" s="28"/>
    </row>
    <row r="226" spans="1:7" ht="12.75" x14ac:dyDescent="0.2">
      <c r="A226" s="28"/>
      <c r="B226" s="28"/>
      <c r="C226" s="28"/>
      <c r="D226" s="28"/>
      <c r="E226" s="28"/>
      <c r="F226" s="28"/>
      <c r="G226" s="28"/>
    </row>
    <row r="227" spans="1:7" ht="12.75" x14ac:dyDescent="0.2">
      <c r="A227" s="28"/>
      <c r="B227" s="28"/>
      <c r="C227" s="28"/>
      <c r="D227" s="28"/>
      <c r="E227" s="28"/>
      <c r="F227" s="28"/>
      <c r="G227" s="28"/>
    </row>
    <row r="228" spans="1:7" ht="12.75" x14ac:dyDescent="0.2">
      <c r="A228" s="28"/>
      <c r="B228" s="28"/>
      <c r="C228" s="28"/>
      <c r="D228" s="28"/>
      <c r="E228" s="28"/>
      <c r="F228" s="28"/>
      <c r="G228" s="28"/>
    </row>
    <row r="229" spans="1:7" ht="12.75" x14ac:dyDescent="0.2">
      <c r="A229" s="28"/>
      <c r="B229" s="28"/>
      <c r="C229" s="28"/>
      <c r="D229" s="28"/>
      <c r="E229" s="28"/>
      <c r="F229" s="28"/>
      <c r="G229" s="28"/>
    </row>
    <row r="230" spans="1:7" ht="12.75" x14ac:dyDescent="0.2">
      <c r="A230" s="28"/>
      <c r="B230" s="28"/>
      <c r="C230" s="28"/>
      <c r="D230" s="28"/>
      <c r="E230" s="28"/>
      <c r="F230" s="28"/>
      <c r="G230" s="28"/>
    </row>
    <row r="231" spans="1:7" ht="12.75" x14ac:dyDescent="0.2">
      <c r="A231" s="28"/>
      <c r="B231" s="28"/>
      <c r="C231" s="28"/>
      <c r="D231" s="28"/>
      <c r="E231" s="28"/>
      <c r="F231" s="28"/>
      <c r="G231" s="28"/>
    </row>
    <row r="232" spans="1:7" ht="12.75" x14ac:dyDescent="0.2">
      <c r="A232" s="28"/>
      <c r="B232" s="28"/>
      <c r="C232" s="28"/>
      <c r="D232" s="28"/>
      <c r="E232" s="28"/>
      <c r="F232" s="28"/>
      <c r="G232" s="28"/>
    </row>
    <row r="233" spans="1:7" ht="12.75" x14ac:dyDescent="0.2">
      <c r="A233" s="28"/>
      <c r="B233" s="28"/>
      <c r="C233" s="28"/>
      <c r="D233" s="28"/>
      <c r="E233" s="28"/>
      <c r="F233" s="28"/>
      <c r="G233" s="28"/>
    </row>
    <row r="234" spans="1:7" ht="12.75" x14ac:dyDescent="0.2">
      <c r="A234" s="28"/>
      <c r="B234" s="28"/>
      <c r="C234" s="28"/>
      <c r="D234" s="28"/>
      <c r="E234" s="28"/>
      <c r="F234" s="28"/>
      <c r="G234" s="28"/>
    </row>
    <row r="235" spans="1:7" ht="12.75" x14ac:dyDescent="0.2">
      <c r="A235" s="28"/>
      <c r="B235" s="28"/>
      <c r="C235" s="28"/>
      <c r="D235" s="28"/>
      <c r="E235" s="28"/>
      <c r="F235" s="28"/>
      <c r="G235" s="28"/>
    </row>
    <row r="236" spans="1:7" ht="12.75" x14ac:dyDescent="0.2">
      <c r="A236" s="28"/>
      <c r="B236" s="28"/>
      <c r="C236" s="28"/>
      <c r="D236" s="28"/>
      <c r="E236" s="28"/>
      <c r="F236" s="28"/>
      <c r="G236" s="28"/>
    </row>
    <row r="237" spans="1:7" ht="12.75" x14ac:dyDescent="0.2">
      <c r="A237" s="28"/>
      <c r="B237" s="28"/>
      <c r="C237" s="28"/>
      <c r="D237" s="28"/>
      <c r="E237" s="28"/>
      <c r="F237" s="28"/>
      <c r="G237" s="28"/>
    </row>
    <row r="238" spans="1:7" ht="12.75" x14ac:dyDescent="0.2">
      <c r="A238" s="28"/>
      <c r="B238" s="28"/>
      <c r="C238" s="28"/>
      <c r="D238" s="28"/>
      <c r="E238" s="28"/>
      <c r="F238" s="28"/>
      <c r="G238" s="28"/>
    </row>
    <row r="239" spans="1:7" ht="12.75" x14ac:dyDescent="0.2">
      <c r="A239" s="28"/>
      <c r="B239" s="28"/>
      <c r="C239" s="28"/>
      <c r="D239" s="28"/>
      <c r="E239" s="28"/>
      <c r="F239" s="28"/>
      <c r="G239" s="28"/>
    </row>
    <row r="240" spans="1:7" ht="12.75" x14ac:dyDescent="0.2">
      <c r="A240" s="28"/>
      <c r="B240" s="28"/>
      <c r="C240" s="28"/>
      <c r="D240" s="28"/>
      <c r="E240" s="28"/>
      <c r="F240" s="28"/>
      <c r="G240" s="28"/>
    </row>
    <row r="241" spans="1:7" ht="12.75" x14ac:dyDescent="0.2">
      <c r="A241" s="28"/>
      <c r="B241" s="28"/>
      <c r="C241" s="28"/>
      <c r="D241" s="28"/>
      <c r="E241" s="28"/>
      <c r="F241" s="28"/>
      <c r="G241" s="28"/>
    </row>
    <row r="242" spans="1:7" ht="12.75" x14ac:dyDescent="0.2">
      <c r="A242" s="28"/>
      <c r="B242" s="28"/>
      <c r="C242" s="28"/>
      <c r="D242" s="28"/>
      <c r="E242" s="28"/>
      <c r="F242" s="28"/>
      <c r="G242" s="28"/>
    </row>
    <row r="243" spans="1:7" ht="12.75" x14ac:dyDescent="0.2">
      <c r="A243" s="28"/>
      <c r="B243" s="28"/>
      <c r="C243" s="28"/>
      <c r="D243" s="28"/>
      <c r="E243" s="28"/>
      <c r="F243" s="28"/>
      <c r="G243" s="28"/>
    </row>
    <row r="244" spans="1:7" ht="12.75" x14ac:dyDescent="0.2">
      <c r="A244" s="28"/>
      <c r="B244" s="28"/>
      <c r="C244" s="28"/>
      <c r="D244" s="28"/>
      <c r="E244" s="28"/>
      <c r="F244" s="28"/>
      <c r="G244" s="28"/>
    </row>
    <row r="245" spans="1:7" ht="12.75" x14ac:dyDescent="0.2">
      <c r="A245" s="28"/>
      <c r="B245" s="28"/>
      <c r="C245" s="28"/>
      <c r="D245" s="28"/>
      <c r="E245" s="28"/>
      <c r="F245" s="28"/>
      <c r="G245" s="28"/>
    </row>
    <row r="246" spans="1:7" ht="12.75" x14ac:dyDescent="0.2">
      <c r="A246" s="28"/>
      <c r="B246" s="28"/>
      <c r="C246" s="28"/>
      <c r="D246" s="28"/>
      <c r="E246" s="28"/>
      <c r="F246" s="28"/>
      <c r="G246" s="28"/>
    </row>
    <row r="247" spans="1:7" ht="12.75" x14ac:dyDescent="0.2">
      <c r="A247" s="28"/>
      <c r="B247" s="28"/>
      <c r="C247" s="28"/>
      <c r="D247" s="28"/>
      <c r="E247" s="28"/>
      <c r="F247" s="28"/>
      <c r="G247" s="28"/>
    </row>
    <row r="248" spans="1:7" ht="12.75" x14ac:dyDescent="0.2">
      <c r="A248" s="28"/>
      <c r="B248" s="28"/>
      <c r="C248" s="28"/>
      <c r="D248" s="28"/>
      <c r="E248" s="28"/>
      <c r="F248" s="28"/>
      <c r="G248" s="28"/>
    </row>
    <row r="249" spans="1:7" ht="12.75" x14ac:dyDescent="0.2">
      <c r="A249" s="28"/>
      <c r="B249" s="28"/>
      <c r="C249" s="28"/>
      <c r="D249" s="28"/>
      <c r="E249" s="28"/>
      <c r="F249" s="28"/>
      <c r="G249" s="28"/>
    </row>
    <row r="250" spans="1:7" ht="12.75" x14ac:dyDescent="0.2">
      <c r="A250" s="28"/>
      <c r="B250" s="28"/>
      <c r="C250" s="28"/>
      <c r="D250" s="28"/>
      <c r="E250" s="28"/>
      <c r="F250" s="28"/>
      <c r="G250" s="28"/>
    </row>
    <row r="251" spans="1:7" ht="12.75" x14ac:dyDescent="0.2">
      <c r="A251" s="28"/>
      <c r="B251" s="28"/>
      <c r="C251" s="28"/>
      <c r="D251" s="28"/>
      <c r="E251" s="28"/>
      <c r="F251" s="28"/>
      <c r="G251" s="28"/>
    </row>
    <row r="252" spans="1:7" ht="12.75" x14ac:dyDescent="0.2">
      <c r="A252" s="28"/>
      <c r="B252" s="28"/>
      <c r="C252" s="28"/>
      <c r="D252" s="28"/>
      <c r="E252" s="28"/>
      <c r="F252" s="28"/>
      <c r="G252" s="28"/>
    </row>
    <row r="253" spans="1:7" ht="12.75" x14ac:dyDescent="0.2">
      <c r="A253" s="28"/>
      <c r="B253" s="28"/>
      <c r="C253" s="28"/>
      <c r="D253" s="28"/>
      <c r="E253" s="28"/>
      <c r="F253" s="28"/>
      <c r="G253" s="28"/>
    </row>
    <row r="254" spans="1:7" ht="12.75" x14ac:dyDescent="0.2">
      <c r="A254" s="28"/>
      <c r="B254" s="28"/>
      <c r="C254" s="28"/>
      <c r="D254" s="28"/>
      <c r="E254" s="28"/>
      <c r="F254" s="28"/>
      <c r="G254" s="28"/>
    </row>
    <row r="255" spans="1:7" ht="12.75" x14ac:dyDescent="0.2">
      <c r="A255" s="28"/>
      <c r="B255" s="28"/>
      <c r="C255" s="28"/>
      <c r="D255" s="28"/>
      <c r="E255" s="28"/>
      <c r="F255" s="28"/>
      <c r="G255" s="28"/>
    </row>
    <row r="256" spans="1:7" ht="12.75" x14ac:dyDescent="0.2">
      <c r="A256" s="28"/>
      <c r="B256" s="28"/>
      <c r="C256" s="28"/>
      <c r="D256" s="28"/>
      <c r="E256" s="28"/>
      <c r="F256" s="28"/>
      <c r="G256" s="28"/>
    </row>
    <row r="257" spans="1:7" ht="12.75" x14ac:dyDescent="0.2">
      <c r="A257" s="28"/>
      <c r="B257" s="28"/>
      <c r="C257" s="28"/>
      <c r="D257" s="28"/>
      <c r="E257" s="28"/>
      <c r="F257" s="28"/>
      <c r="G257" s="28"/>
    </row>
    <row r="258" spans="1:7" ht="12.75" x14ac:dyDescent="0.2">
      <c r="A258" s="28"/>
      <c r="B258" s="28"/>
      <c r="C258" s="28"/>
      <c r="D258" s="28"/>
      <c r="E258" s="28"/>
      <c r="F258" s="28"/>
      <c r="G258" s="28"/>
    </row>
    <row r="259" spans="1:7" ht="12.75" x14ac:dyDescent="0.2">
      <c r="A259" s="28"/>
      <c r="B259" s="28"/>
      <c r="C259" s="28"/>
      <c r="D259" s="28"/>
      <c r="E259" s="28"/>
      <c r="F259" s="28"/>
      <c r="G259" s="28"/>
    </row>
    <row r="260" spans="1:7" ht="12.75" x14ac:dyDescent="0.2">
      <c r="A260" s="28"/>
      <c r="B260" s="28"/>
      <c r="C260" s="28"/>
      <c r="D260" s="28"/>
      <c r="E260" s="28"/>
      <c r="F260" s="28"/>
      <c r="G260" s="28"/>
    </row>
    <row r="261" spans="1:7" ht="12.75" x14ac:dyDescent="0.2">
      <c r="A261" s="28"/>
      <c r="B261" s="28"/>
      <c r="C261" s="28"/>
      <c r="D261" s="28"/>
      <c r="E261" s="28"/>
      <c r="F261" s="28"/>
      <c r="G261" s="28"/>
    </row>
    <row r="262" spans="1:7" ht="12.75" x14ac:dyDescent="0.2">
      <c r="A262" s="28"/>
      <c r="B262" s="28"/>
      <c r="C262" s="28"/>
      <c r="D262" s="28"/>
      <c r="E262" s="28"/>
      <c r="F262" s="28"/>
      <c r="G262" s="28"/>
    </row>
    <row r="263" spans="1:7" ht="12.75" x14ac:dyDescent="0.2">
      <c r="A263" s="28"/>
      <c r="B263" s="28"/>
      <c r="C263" s="28"/>
      <c r="D263" s="28"/>
      <c r="E263" s="28"/>
      <c r="F263" s="28"/>
      <c r="G263" s="28"/>
    </row>
    <row r="264" spans="1:7" ht="12.75" x14ac:dyDescent="0.2">
      <c r="A264" s="28"/>
      <c r="B264" s="28"/>
      <c r="C264" s="28"/>
      <c r="D264" s="28"/>
      <c r="E264" s="28"/>
      <c r="F264" s="28"/>
      <c r="G264" s="28"/>
    </row>
    <row r="265" spans="1:7" ht="12.75" x14ac:dyDescent="0.2">
      <c r="A265" s="28"/>
      <c r="B265" s="28"/>
      <c r="C265" s="28"/>
      <c r="D265" s="28"/>
      <c r="E265" s="28"/>
      <c r="F265" s="28"/>
      <c r="G265" s="28"/>
    </row>
    <row r="266" spans="1:7" ht="12.75" x14ac:dyDescent="0.2">
      <c r="A266" s="28"/>
      <c r="B266" s="28"/>
      <c r="C266" s="28"/>
      <c r="D266" s="28"/>
      <c r="E266" s="28"/>
      <c r="F266" s="28"/>
      <c r="G266" s="28"/>
    </row>
    <row r="267" spans="1:7" ht="12.75" x14ac:dyDescent="0.2">
      <c r="A267" s="28"/>
      <c r="B267" s="28"/>
      <c r="C267" s="28"/>
      <c r="D267" s="28"/>
      <c r="E267" s="28"/>
      <c r="F267" s="28"/>
      <c r="G267" s="28"/>
    </row>
    <row r="268" spans="1:7" ht="12.75" x14ac:dyDescent="0.2">
      <c r="A268" s="28"/>
      <c r="B268" s="28"/>
      <c r="C268" s="28"/>
      <c r="D268" s="28"/>
      <c r="E268" s="28"/>
      <c r="F268" s="28"/>
      <c r="G268" s="28"/>
    </row>
    <row r="269" spans="1:7" ht="12.75" x14ac:dyDescent="0.2">
      <c r="A269" s="28"/>
      <c r="B269" s="28"/>
      <c r="C269" s="28"/>
      <c r="D269" s="28"/>
      <c r="E269" s="28"/>
      <c r="F269" s="28"/>
      <c r="G269" s="28"/>
    </row>
    <row r="270" spans="1:7" ht="12.75" x14ac:dyDescent="0.2">
      <c r="A270" s="28"/>
      <c r="B270" s="28"/>
      <c r="C270" s="28"/>
      <c r="D270" s="28"/>
      <c r="E270" s="28"/>
      <c r="F270" s="28"/>
      <c r="G270" s="28"/>
    </row>
    <row r="271" spans="1:7" ht="12.75" x14ac:dyDescent="0.2">
      <c r="A271" s="28"/>
      <c r="B271" s="28"/>
      <c r="C271" s="28"/>
      <c r="D271" s="28"/>
      <c r="E271" s="28"/>
      <c r="F271" s="28"/>
      <c r="G271" s="28"/>
    </row>
    <row r="272" spans="1:7" ht="12.75" x14ac:dyDescent="0.2">
      <c r="A272" s="28"/>
      <c r="B272" s="28"/>
      <c r="C272" s="28"/>
      <c r="D272" s="28"/>
      <c r="E272" s="28"/>
      <c r="F272" s="28"/>
      <c r="G272" s="28"/>
    </row>
    <row r="273" spans="1:7" ht="12.75" x14ac:dyDescent="0.2">
      <c r="A273" s="28"/>
      <c r="B273" s="28"/>
      <c r="C273" s="28"/>
      <c r="D273" s="28"/>
      <c r="E273" s="28"/>
      <c r="F273" s="28"/>
      <c r="G273" s="28"/>
    </row>
    <row r="274" spans="1:7" ht="12.75" x14ac:dyDescent="0.2">
      <c r="A274" s="28"/>
      <c r="B274" s="28"/>
      <c r="C274" s="28"/>
      <c r="D274" s="28"/>
      <c r="E274" s="28"/>
      <c r="F274" s="28"/>
      <c r="G274" s="28"/>
    </row>
    <row r="275" spans="1:7" ht="12.75" x14ac:dyDescent="0.2">
      <c r="A275" s="28"/>
      <c r="B275" s="28"/>
      <c r="C275" s="28"/>
      <c r="D275" s="28"/>
      <c r="E275" s="28"/>
      <c r="F275" s="28"/>
      <c r="G275" s="28"/>
    </row>
    <row r="276" spans="1:7" ht="12.75" x14ac:dyDescent="0.2">
      <c r="A276" s="28"/>
      <c r="B276" s="28"/>
      <c r="C276" s="28"/>
      <c r="D276" s="28"/>
      <c r="E276" s="28"/>
      <c r="F276" s="28"/>
      <c r="G276" s="28"/>
    </row>
    <row r="277" spans="1:7" ht="12.75" x14ac:dyDescent="0.2">
      <c r="A277" s="28"/>
      <c r="B277" s="28"/>
      <c r="C277" s="28"/>
      <c r="D277" s="28"/>
      <c r="E277" s="28"/>
      <c r="F277" s="28"/>
      <c r="G277" s="28"/>
    </row>
    <row r="278" spans="1:7" ht="12.75" x14ac:dyDescent="0.2">
      <c r="A278" s="28"/>
      <c r="B278" s="28"/>
      <c r="C278" s="28"/>
      <c r="D278" s="28"/>
      <c r="E278" s="28"/>
      <c r="F278" s="28"/>
      <c r="G278" s="28"/>
    </row>
    <row r="279" spans="1:7" ht="12.75" x14ac:dyDescent="0.2">
      <c r="A279" s="28"/>
      <c r="B279" s="28"/>
      <c r="C279" s="28"/>
      <c r="D279" s="28"/>
      <c r="E279" s="28"/>
      <c r="F279" s="28"/>
      <c r="G279" s="28"/>
    </row>
    <row r="280" spans="1:7" ht="12.75" x14ac:dyDescent="0.2">
      <c r="A280" s="28"/>
      <c r="B280" s="28"/>
      <c r="C280" s="28"/>
      <c r="D280" s="28"/>
      <c r="E280" s="28"/>
      <c r="F280" s="28"/>
      <c r="G280" s="28"/>
    </row>
    <row r="281" spans="1:7" ht="12.75" x14ac:dyDescent="0.2">
      <c r="A281" s="28"/>
      <c r="B281" s="28"/>
      <c r="C281" s="28"/>
      <c r="D281" s="28"/>
      <c r="E281" s="28"/>
      <c r="F281" s="28"/>
      <c r="G281" s="28"/>
    </row>
    <row r="282" spans="1:7" ht="12.75" x14ac:dyDescent="0.2">
      <c r="A282" s="28"/>
      <c r="B282" s="28"/>
      <c r="C282" s="28"/>
      <c r="D282" s="28"/>
      <c r="E282" s="28"/>
      <c r="F282" s="28"/>
      <c r="G282" s="28"/>
    </row>
    <row r="283" spans="1:7" ht="12.75" x14ac:dyDescent="0.2">
      <c r="A283" s="28"/>
      <c r="B283" s="28"/>
      <c r="C283" s="28"/>
      <c r="D283" s="28"/>
      <c r="E283" s="28"/>
      <c r="F283" s="28"/>
      <c r="G283" s="28"/>
    </row>
    <row r="284" spans="1:7" ht="12.75" x14ac:dyDescent="0.2">
      <c r="A284" s="28"/>
      <c r="B284" s="28"/>
      <c r="C284" s="28"/>
      <c r="D284" s="28"/>
      <c r="E284" s="28"/>
      <c r="F284" s="28"/>
      <c r="G284" s="28"/>
    </row>
    <row r="285" spans="1:7" ht="12.75" x14ac:dyDescent="0.2">
      <c r="A285" s="28"/>
      <c r="B285" s="28"/>
      <c r="C285" s="28"/>
      <c r="D285" s="28"/>
      <c r="E285" s="28"/>
      <c r="F285" s="28"/>
      <c r="G285" s="28"/>
    </row>
    <row r="286" spans="1:7" ht="12.75" x14ac:dyDescent="0.2">
      <c r="A286" s="28"/>
      <c r="B286" s="28"/>
      <c r="C286" s="28"/>
      <c r="D286" s="28"/>
      <c r="E286" s="28"/>
      <c r="F286" s="28"/>
      <c r="G286" s="28"/>
    </row>
    <row r="287" spans="1:7" ht="12.75" x14ac:dyDescent="0.2">
      <c r="A287" s="28"/>
      <c r="B287" s="28"/>
      <c r="C287" s="28"/>
      <c r="D287" s="28"/>
      <c r="E287" s="28"/>
      <c r="F287" s="28"/>
      <c r="G287" s="28"/>
    </row>
    <row r="288" spans="1:7" ht="12.75" x14ac:dyDescent="0.2">
      <c r="A288" s="28"/>
      <c r="B288" s="28"/>
      <c r="C288" s="28"/>
      <c r="D288" s="28"/>
      <c r="E288" s="28"/>
      <c r="F288" s="28"/>
      <c r="G288" s="28"/>
    </row>
    <row r="289" spans="1:7" ht="12.75" x14ac:dyDescent="0.2">
      <c r="A289" s="28"/>
      <c r="B289" s="28"/>
      <c r="C289" s="28"/>
      <c r="D289" s="28"/>
      <c r="E289" s="28"/>
      <c r="F289" s="28"/>
      <c r="G289" s="28"/>
    </row>
    <row r="290" spans="1:7" ht="12.75" x14ac:dyDescent="0.2">
      <c r="A290" s="28"/>
      <c r="B290" s="28"/>
      <c r="C290" s="28"/>
      <c r="D290" s="28"/>
      <c r="E290" s="28"/>
      <c r="F290" s="28"/>
      <c r="G290" s="28"/>
    </row>
    <row r="291" spans="1:7" ht="12.75" x14ac:dyDescent="0.2">
      <c r="A291" s="28"/>
      <c r="B291" s="28"/>
      <c r="C291" s="28"/>
      <c r="D291" s="28"/>
      <c r="E291" s="28"/>
      <c r="F291" s="28"/>
      <c r="G291" s="28"/>
    </row>
    <row r="292" spans="1:7" ht="12.75" x14ac:dyDescent="0.2">
      <c r="A292" s="28"/>
      <c r="B292" s="28"/>
      <c r="C292" s="28"/>
      <c r="D292" s="28"/>
      <c r="E292" s="28"/>
      <c r="F292" s="28"/>
      <c r="G292" s="28"/>
    </row>
    <row r="293" spans="1:7" ht="12.75" x14ac:dyDescent="0.2">
      <c r="A293" s="28"/>
      <c r="B293" s="28"/>
      <c r="C293" s="28"/>
      <c r="D293" s="28"/>
      <c r="E293" s="28"/>
      <c r="F293" s="28"/>
      <c r="G293" s="28"/>
    </row>
    <row r="294" spans="1:7" ht="12.75" x14ac:dyDescent="0.2">
      <c r="A294" s="28"/>
      <c r="B294" s="28"/>
      <c r="C294" s="28"/>
      <c r="D294" s="28"/>
      <c r="E294" s="28"/>
      <c r="F294" s="28"/>
      <c r="G294" s="28"/>
    </row>
    <row r="295" spans="1:7" ht="12.75" x14ac:dyDescent="0.2">
      <c r="A295" s="28"/>
      <c r="B295" s="28"/>
      <c r="C295" s="28"/>
      <c r="D295" s="28"/>
      <c r="E295" s="28"/>
      <c r="F295" s="28"/>
      <c r="G295" s="28"/>
    </row>
    <row r="296" spans="1:7" ht="12.75" x14ac:dyDescent="0.2">
      <c r="A296" s="28"/>
      <c r="B296" s="28"/>
      <c r="C296" s="28"/>
      <c r="D296" s="28"/>
      <c r="E296" s="28"/>
      <c r="F296" s="28"/>
      <c r="G296" s="28"/>
    </row>
    <row r="297" spans="1:7" ht="12.75" x14ac:dyDescent="0.2">
      <c r="A297" s="28"/>
      <c r="B297" s="28"/>
      <c r="C297" s="28"/>
      <c r="D297" s="28"/>
      <c r="E297" s="28"/>
      <c r="F297" s="28"/>
      <c r="G297" s="28"/>
    </row>
    <row r="298" spans="1:7" ht="12.75" x14ac:dyDescent="0.2">
      <c r="A298" s="28"/>
      <c r="B298" s="28"/>
      <c r="C298" s="28"/>
      <c r="D298" s="28"/>
      <c r="E298" s="28"/>
      <c r="F298" s="28"/>
      <c r="G298" s="28"/>
    </row>
    <row r="299" spans="1:7" ht="12.75" x14ac:dyDescent="0.2">
      <c r="A299" s="28"/>
      <c r="B299" s="28"/>
      <c r="C299" s="28"/>
      <c r="D299" s="28"/>
      <c r="E299" s="28"/>
      <c r="F299" s="28"/>
      <c r="G299" s="28"/>
    </row>
    <row r="300" spans="1:7" ht="12.75" x14ac:dyDescent="0.2">
      <c r="A300" s="28"/>
      <c r="B300" s="28"/>
      <c r="C300" s="28"/>
      <c r="D300" s="28"/>
      <c r="E300" s="28"/>
      <c r="F300" s="28"/>
      <c r="G300" s="28"/>
    </row>
    <row r="301" spans="1:7" ht="12.75" x14ac:dyDescent="0.2">
      <c r="A301" s="28"/>
      <c r="B301" s="28"/>
      <c r="C301" s="28"/>
      <c r="D301" s="28"/>
      <c r="E301" s="28"/>
      <c r="F301" s="28"/>
      <c r="G301" s="28"/>
    </row>
    <row r="302" spans="1:7" ht="12.75" x14ac:dyDescent="0.2">
      <c r="A302" s="28"/>
      <c r="B302" s="28"/>
      <c r="C302" s="28"/>
      <c r="D302" s="28"/>
      <c r="E302" s="28"/>
      <c r="F302" s="28"/>
      <c r="G302" s="28"/>
    </row>
    <row r="303" spans="1:7" ht="12.75" x14ac:dyDescent="0.2">
      <c r="A303" s="28"/>
      <c r="B303" s="28"/>
      <c r="C303" s="28"/>
      <c r="D303" s="28"/>
      <c r="E303" s="28"/>
      <c r="F303" s="28"/>
      <c r="G303" s="28"/>
    </row>
    <row r="304" spans="1:7" ht="12.75" x14ac:dyDescent="0.2">
      <c r="A304" s="28"/>
      <c r="B304" s="28"/>
      <c r="C304" s="28"/>
      <c r="D304" s="28"/>
      <c r="E304" s="28"/>
      <c r="F304" s="28"/>
      <c r="G304" s="28"/>
    </row>
    <row r="305" spans="1:7" ht="12.75" x14ac:dyDescent="0.2">
      <c r="A305" s="28"/>
      <c r="B305" s="28"/>
      <c r="C305" s="28"/>
      <c r="D305" s="28"/>
      <c r="E305" s="28"/>
      <c r="F305" s="28"/>
      <c r="G305" s="28"/>
    </row>
    <row r="306" spans="1:7" ht="12.75" x14ac:dyDescent="0.2">
      <c r="A306" s="28"/>
      <c r="B306" s="28"/>
      <c r="C306" s="28"/>
      <c r="D306" s="28"/>
      <c r="E306" s="28"/>
      <c r="F306" s="28"/>
      <c r="G306" s="28"/>
    </row>
    <row r="307" spans="1:7" ht="12.75" x14ac:dyDescent="0.2">
      <c r="A307" s="28"/>
      <c r="B307" s="28"/>
      <c r="C307" s="28"/>
      <c r="D307" s="28"/>
      <c r="E307" s="28"/>
      <c r="F307" s="28"/>
      <c r="G307" s="28"/>
    </row>
    <row r="308" spans="1:7" ht="12.75" x14ac:dyDescent="0.2">
      <c r="A308" s="28"/>
      <c r="B308" s="28"/>
      <c r="C308" s="28"/>
      <c r="D308" s="28"/>
      <c r="E308" s="28"/>
      <c r="F308" s="28"/>
      <c r="G308" s="28"/>
    </row>
    <row r="309" spans="1:7" ht="12.75" x14ac:dyDescent="0.2">
      <c r="A309" s="28"/>
      <c r="B309" s="28"/>
      <c r="C309" s="28"/>
      <c r="D309" s="28"/>
      <c r="E309" s="28"/>
      <c r="F309" s="28"/>
      <c r="G309" s="28"/>
    </row>
    <row r="310" spans="1:7" ht="12.75" x14ac:dyDescent="0.2">
      <c r="A310" s="28"/>
      <c r="B310" s="28"/>
      <c r="C310" s="28"/>
      <c r="D310" s="28"/>
      <c r="E310" s="28"/>
      <c r="F310" s="28"/>
      <c r="G310" s="28"/>
    </row>
    <row r="311" spans="1:7" ht="12.75" x14ac:dyDescent="0.2">
      <c r="A311" s="28"/>
      <c r="B311" s="28"/>
      <c r="C311" s="28"/>
      <c r="D311" s="28"/>
      <c r="E311" s="28"/>
      <c r="F311" s="28"/>
      <c r="G311" s="28"/>
    </row>
    <row r="312" spans="1:7" ht="12.75" x14ac:dyDescent="0.2">
      <c r="A312" s="28"/>
      <c r="B312" s="28"/>
      <c r="C312" s="28"/>
      <c r="D312" s="28"/>
      <c r="E312" s="28"/>
      <c r="F312" s="28"/>
      <c r="G312" s="28"/>
    </row>
    <row r="313" spans="1:7" ht="12.75" x14ac:dyDescent="0.2">
      <c r="A313" s="28"/>
      <c r="B313" s="28"/>
      <c r="C313" s="28"/>
      <c r="D313" s="28"/>
      <c r="E313" s="28"/>
      <c r="F313" s="28"/>
      <c r="G313" s="28"/>
    </row>
    <row r="314" spans="1:7" ht="12.75" x14ac:dyDescent="0.2">
      <c r="A314" s="28"/>
      <c r="B314" s="28"/>
      <c r="C314" s="28"/>
      <c r="D314" s="28"/>
      <c r="E314" s="28"/>
      <c r="F314" s="28"/>
      <c r="G314" s="28"/>
    </row>
    <row r="315" spans="1:7" ht="12.75" x14ac:dyDescent="0.2">
      <c r="A315" s="28"/>
      <c r="B315" s="28"/>
      <c r="C315" s="28"/>
      <c r="D315" s="28"/>
      <c r="E315" s="28"/>
      <c r="F315" s="28"/>
      <c r="G315" s="28"/>
    </row>
    <row r="316" spans="1:7" ht="12.75" x14ac:dyDescent="0.2">
      <c r="A316" s="28"/>
      <c r="B316" s="28"/>
      <c r="C316" s="28"/>
      <c r="D316" s="28"/>
      <c r="E316" s="28"/>
      <c r="F316" s="28"/>
      <c r="G316" s="28"/>
    </row>
    <row r="317" spans="1:7" ht="12.75" x14ac:dyDescent="0.2">
      <c r="A317" s="28"/>
      <c r="B317" s="28"/>
      <c r="C317" s="28"/>
      <c r="D317" s="28"/>
      <c r="E317" s="28"/>
      <c r="F317" s="28"/>
      <c r="G317" s="28"/>
    </row>
    <row r="318" spans="1:7" ht="12.75" x14ac:dyDescent="0.2">
      <c r="A318" s="28"/>
      <c r="B318" s="28"/>
      <c r="C318" s="28"/>
      <c r="D318" s="28"/>
      <c r="E318" s="28"/>
      <c r="F318" s="28"/>
      <c r="G318" s="28"/>
    </row>
    <row r="319" spans="1:7" ht="12.75" x14ac:dyDescent="0.2">
      <c r="A319" s="28"/>
      <c r="B319" s="28"/>
      <c r="C319" s="28"/>
      <c r="D319" s="28"/>
      <c r="E319" s="28"/>
      <c r="F319" s="28"/>
      <c r="G319" s="28"/>
    </row>
    <row r="320" spans="1:7" ht="12.75" x14ac:dyDescent="0.2">
      <c r="A320" s="28"/>
      <c r="B320" s="28"/>
      <c r="C320" s="28"/>
      <c r="D320" s="28"/>
      <c r="E320" s="28"/>
      <c r="F320" s="28"/>
      <c r="G320" s="28"/>
    </row>
    <row r="321" spans="1:7" ht="12.75" x14ac:dyDescent="0.2">
      <c r="A321" s="28"/>
      <c r="B321" s="28"/>
      <c r="C321" s="28"/>
      <c r="D321" s="28"/>
      <c r="E321" s="28"/>
      <c r="F321" s="28"/>
      <c r="G321" s="28"/>
    </row>
    <row r="322" spans="1:7" ht="12.75" x14ac:dyDescent="0.2">
      <c r="A322" s="28"/>
      <c r="B322" s="28"/>
      <c r="C322" s="28"/>
      <c r="D322" s="28"/>
      <c r="E322" s="28"/>
      <c r="F322" s="28"/>
      <c r="G322" s="28"/>
    </row>
    <row r="323" spans="1:7" ht="12.75" x14ac:dyDescent="0.2">
      <c r="A323" s="28"/>
      <c r="B323" s="28"/>
      <c r="C323" s="28"/>
      <c r="D323" s="28"/>
      <c r="E323" s="28"/>
      <c r="F323" s="28"/>
      <c r="G323" s="28"/>
    </row>
    <row r="324" spans="1:7" ht="12.75" x14ac:dyDescent="0.2">
      <c r="A324" s="28"/>
      <c r="B324" s="28"/>
      <c r="C324" s="28"/>
      <c r="D324" s="28"/>
      <c r="E324" s="28"/>
      <c r="F324" s="28"/>
      <c r="G324" s="28"/>
    </row>
    <row r="325" spans="1:7" ht="12.75" x14ac:dyDescent="0.2">
      <c r="A325" s="28"/>
      <c r="B325" s="28"/>
      <c r="C325" s="28"/>
      <c r="D325" s="28"/>
      <c r="E325" s="28"/>
      <c r="F325" s="28"/>
      <c r="G325" s="28"/>
    </row>
    <row r="326" spans="1:7" ht="12.75" x14ac:dyDescent="0.2">
      <c r="A326" s="28"/>
      <c r="B326" s="28"/>
      <c r="C326" s="28"/>
      <c r="D326" s="28"/>
      <c r="E326" s="28"/>
      <c r="F326" s="28"/>
      <c r="G326" s="28"/>
    </row>
    <row r="327" spans="1:7" ht="12.75" x14ac:dyDescent="0.2">
      <c r="A327" s="28"/>
      <c r="B327" s="28"/>
      <c r="C327" s="28"/>
      <c r="D327" s="28"/>
      <c r="E327" s="28"/>
      <c r="F327" s="28"/>
      <c r="G327" s="28"/>
    </row>
    <row r="328" spans="1:7" ht="12.75" x14ac:dyDescent="0.2">
      <c r="A328" s="28"/>
      <c r="B328" s="28"/>
      <c r="C328" s="28"/>
      <c r="D328" s="28"/>
      <c r="E328" s="28"/>
      <c r="F328" s="28"/>
      <c r="G328" s="28"/>
    </row>
    <row r="329" spans="1:7" ht="12.75" x14ac:dyDescent="0.2">
      <c r="A329" s="28"/>
      <c r="B329" s="28"/>
      <c r="C329" s="28"/>
      <c r="D329" s="28"/>
      <c r="E329" s="28"/>
      <c r="F329" s="28"/>
      <c r="G329" s="28"/>
    </row>
    <row r="330" spans="1:7" ht="12.75" x14ac:dyDescent="0.2">
      <c r="A330" s="28"/>
      <c r="B330" s="28"/>
      <c r="C330" s="28"/>
      <c r="D330" s="28"/>
      <c r="E330" s="28"/>
      <c r="F330" s="28"/>
      <c r="G330" s="28"/>
    </row>
    <row r="331" spans="1:7" ht="12.75" x14ac:dyDescent="0.2">
      <c r="A331" s="28"/>
      <c r="B331" s="28"/>
      <c r="C331" s="28"/>
      <c r="D331" s="28"/>
      <c r="E331" s="28"/>
      <c r="F331" s="28"/>
      <c r="G331" s="28"/>
    </row>
    <row r="332" spans="1:7" ht="12.75" x14ac:dyDescent="0.2">
      <c r="A332" s="28"/>
      <c r="B332" s="28"/>
      <c r="C332" s="28"/>
      <c r="D332" s="28"/>
      <c r="E332" s="28"/>
      <c r="F332" s="28"/>
      <c r="G332" s="28"/>
    </row>
    <row r="333" spans="1:7" ht="12.75" x14ac:dyDescent="0.2">
      <c r="A333" s="28"/>
      <c r="B333" s="28"/>
      <c r="C333" s="28"/>
      <c r="D333" s="28"/>
      <c r="E333" s="28"/>
      <c r="F333" s="28"/>
      <c r="G333" s="28"/>
    </row>
    <row r="334" spans="1:7" ht="12.75" x14ac:dyDescent="0.2">
      <c r="A334" s="28"/>
      <c r="B334" s="28"/>
      <c r="C334" s="28"/>
      <c r="D334" s="28"/>
      <c r="E334" s="28"/>
      <c r="F334" s="28"/>
      <c r="G334" s="28"/>
    </row>
    <row r="335" spans="1:7" ht="12.75" x14ac:dyDescent="0.2">
      <c r="A335" s="28"/>
      <c r="B335" s="28"/>
      <c r="C335" s="28"/>
      <c r="D335" s="28"/>
      <c r="E335" s="28"/>
      <c r="F335" s="28"/>
      <c r="G335" s="28"/>
    </row>
    <row r="336" spans="1:7" ht="12.75" x14ac:dyDescent="0.2">
      <c r="A336" s="28"/>
      <c r="B336" s="28"/>
      <c r="C336" s="28"/>
      <c r="D336" s="28"/>
      <c r="E336" s="28"/>
      <c r="F336" s="28"/>
      <c r="G336" s="28"/>
    </row>
    <row r="337" spans="1:7" ht="12.75" x14ac:dyDescent="0.2">
      <c r="A337" s="28"/>
      <c r="B337" s="28"/>
      <c r="C337" s="28"/>
      <c r="D337" s="28"/>
      <c r="E337" s="28"/>
      <c r="F337" s="28"/>
      <c r="G337" s="28"/>
    </row>
    <row r="338" spans="1:7" ht="12.75" x14ac:dyDescent="0.2">
      <c r="A338" s="28"/>
      <c r="B338" s="28"/>
      <c r="C338" s="28"/>
      <c r="D338" s="28"/>
      <c r="E338" s="28"/>
      <c r="F338" s="28"/>
      <c r="G338" s="28"/>
    </row>
    <row r="339" spans="1:7" ht="12.75" x14ac:dyDescent="0.2">
      <c r="A339" s="28"/>
      <c r="B339" s="28"/>
      <c r="C339" s="28"/>
      <c r="D339" s="28"/>
      <c r="E339" s="28"/>
      <c r="F339" s="28"/>
      <c r="G339" s="28"/>
    </row>
    <row r="340" spans="1:7" ht="12.75" x14ac:dyDescent="0.2">
      <c r="A340" s="28"/>
      <c r="B340" s="28"/>
      <c r="C340" s="28"/>
      <c r="D340" s="28"/>
      <c r="E340" s="28"/>
      <c r="F340" s="28"/>
      <c r="G340" s="28"/>
    </row>
    <row r="341" spans="1:7" ht="12.75" x14ac:dyDescent="0.2">
      <c r="A341" s="28"/>
      <c r="B341" s="28"/>
      <c r="C341" s="28"/>
      <c r="D341" s="28"/>
      <c r="E341" s="28"/>
      <c r="F341" s="28"/>
      <c r="G341" s="28"/>
    </row>
    <row r="342" spans="1:7" ht="12.75" x14ac:dyDescent="0.2">
      <c r="A342" s="28"/>
      <c r="B342" s="28"/>
      <c r="C342" s="28"/>
      <c r="D342" s="28"/>
      <c r="E342" s="28"/>
      <c r="F342" s="28"/>
      <c r="G342" s="28"/>
    </row>
    <row r="343" spans="1:7" ht="12.75" x14ac:dyDescent="0.2">
      <c r="A343" s="28"/>
      <c r="B343" s="28"/>
      <c r="C343" s="28"/>
      <c r="D343" s="28"/>
      <c r="E343" s="28"/>
      <c r="F343" s="28"/>
      <c r="G343" s="28"/>
    </row>
    <row r="344" spans="1:7" ht="12.75" x14ac:dyDescent="0.2">
      <c r="A344" s="28"/>
      <c r="B344" s="28"/>
      <c r="C344" s="28"/>
      <c r="D344" s="28"/>
      <c r="E344" s="28"/>
      <c r="F344" s="28"/>
      <c r="G344" s="28"/>
    </row>
    <row r="345" spans="1:7" ht="12.75" x14ac:dyDescent="0.2">
      <c r="A345" s="28"/>
      <c r="B345" s="28"/>
      <c r="C345" s="28"/>
      <c r="D345" s="28"/>
      <c r="E345" s="28"/>
      <c r="F345" s="28"/>
      <c r="G345" s="28"/>
    </row>
    <row r="346" spans="1:7" ht="12.75" x14ac:dyDescent="0.2">
      <c r="A346" s="28"/>
      <c r="B346" s="28"/>
      <c r="C346" s="28"/>
      <c r="D346" s="28"/>
      <c r="E346" s="28"/>
      <c r="F346" s="28"/>
      <c r="G346" s="28"/>
    </row>
    <row r="347" spans="1:7" ht="12.75" x14ac:dyDescent="0.2">
      <c r="A347" s="28"/>
      <c r="B347" s="28"/>
      <c r="C347" s="28"/>
      <c r="D347" s="28"/>
      <c r="E347" s="28"/>
      <c r="F347" s="28"/>
      <c r="G347" s="28"/>
    </row>
    <row r="348" spans="1:7" ht="12.75" x14ac:dyDescent="0.2">
      <c r="A348" s="28"/>
      <c r="B348" s="28"/>
      <c r="C348" s="28"/>
      <c r="D348" s="28"/>
      <c r="E348" s="28"/>
      <c r="F348" s="28"/>
      <c r="G348" s="28"/>
    </row>
    <row r="349" spans="1:7" ht="12.75" x14ac:dyDescent="0.2">
      <c r="A349" s="28"/>
      <c r="B349" s="28"/>
      <c r="C349" s="28"/>
      <c r="D349" s="28"/>
      <c r="E349" s="28"/>
      <c r="F349" s="28"/>
      <c r="G349" s="28"/>
    </row>
    <row r="350" spans="1:7" ht="12.75" x14ac:dyDescent="0.2">
      <c r="A350" s="28"/>
      <c r="B350" s="28"/>
      <c r="C350" s="28"/>
      <c r="D350" s="28"/>
      <c r="E350" s="28"/>
      <c r="F350" s="28"/>
      <c r="G350" s="28"/>
    </row>
    <row r="351" spans="1:7" ht="12.75" x14ac:dyDescent="0.2">
      <c r="A351" s="28"/>
      <c r="B351" s="28"/>
      <c r="C351" s="28"/>
      <c r="D351" s="28"/>
      <c r="E351" s="28"/>
      <c r="F351" s="28"/>
      <c r="G351" s="28"/>
    </row>
    <row r="352" spans="1:7" ht="12.75" x14ac:dyDescent="0.2">
      <c r="A352" s="28"/>
      <c r="B352" s="28"/>
      <c r="C352" s="28"/>
      <c r="D352" s="28"/>
      <c r="E352" s="28"/>
      <c r="F352" s="28"/>
      <c r="G352" s="28"/>
    </row>
    <row r="353" spans="1:7" ht="12.75" x14ac:dyDescent="0.2">
      <c r="A353" s="28"/>
      <c r="B353" s="28"/>
      <c r="C353" s="28"/>
      <c r="D353" s="28"/>
      <c r="E353" s="28"/>
      <c r="F353" s="28"/>
      <c r="G353" s="28"/>
    </row>
    <row r="354" spans="1:7" ht="12.75" x14ac:dyDescent="0.2">
      <c r="A354" s="28"/>
      <c r="B354" s="28"/>
      <c r="C354" s="28"/>
      <c r="D354" s="28"/>
      <c r="E354" s="28"/>
      <c r="F354" s="28"/>
      <c r="G354" s="28"/>
    </row>
    <row r="355" spans="1:7" ht="12.75" x14ac:dyDescent="0.2">
      <c r="A355" s="28"/>
      <c r="B355" s="28"/>
      <c r="C355" s="28"/>
      <c r="D355" s="28"/>
      <c r="E355" s="28"/>
      <c r="F355" s="28"/>
      <c r="G355" s="28"/>
    </row>
    <row r="356" spans="1:7" ht="12.75" x14ac:dyDescent="0.2">
      <c r="A356" s="28"/>
      <c r="B356" s="28"/>
      <c r="C356" s="28"/>
      <c r="D356" s="28"/>
      <c r="E356" s="28"/>
      <c r="F356" s="28"/>
      <c r="G356" s="28"/>
    </row>
    <row r="357" spans="1:7" ht="12.75" x14ac:dyDescent="0.2">
      <c r="A357" s="28"/>
      <c r="B357" s="28"/>
      <c r="C357" s="28"/>
      <c r="D357" s="28"/>
      <c r="E357" s="28"/>
      <c r="F357" s="28"/>
      <c r="G357" s="28"/>
    </row>
    <row r="358" spans="1:7" ht="12.75" x14ac:dyDescent="0.2">
      <c r="A358" s="28"/>
      <c r="B358" s="28"/>
      <c r="C358" s="28"/>
      <c r="D358" s="28"/>
      <c r="E358" s="28"/>
      <c r="F358" s="28"/>
      <c r="G358" s="28"/>
    </row>
    <row r="359" spans="1:7" ht="12.75" x14ac:dyDescent="0.2">
      <c r="A359" s="28"/>
      <c r="B359" s="28"/>
      <c r="C359" s="28"/>
      <c r="D359" s="28"/>
      <c r="E359" s="28"/>
      <c r="F359" s="28"/>
      <c r="G359" s="28"/>
    </row>
    <row r="360" spans="1:7" ht="12.75" x14ac:dyDescent="0.2">
      <c r="A360" s="28"/>
      <c r="B360" s="28"/>
      <c r="C360" s="28"/>
      <c r="D360" s="28"/>
      <c r="E360" s="28"/>
      <c r="F360" s="28"/>
      <c r="G360" s="28"/>
    </row>
    <row r="361" spans="1:7" ht="12.75" x14ac:dyDescent="0.2">
      <c r="A361" s="28"/>
      <c r="B361" s="28"/>
      <c r="C361" s="28"/>
      <c r="D361" s="28"/>
      <c r="E361" s="28"/>
      <c r="F361" s="28"/>
      <c r="G361" s="28"/>
    </row>
    <row r="362" spans="1:7" ht="12.75" x14ac:dyDescent="0.2">
      <c r="A362" s="28"/>
      <c r="B362" s="28"/>
      <c r="C362" s="28"/>
      <c r="D362" s="28"/>
      <c r="E362" s="28"/>
      <c r="F362" s="28"/>
      <c r="G362" s="28"/>
    </row>
    <row r="363" spans="1:7" ht="12.75" x14ac:dyDescent="0.2">
      <c r="A363" s="28"/>
      <c r="B363" s="28"/>
      <c r="C363" s="28"/>
      <c r="D363" s="28"/>
      <c r="E363" s="28"/>
      <c r="F363" s="28"/>
      <c r="G363" s="28"/>
    </row>
    <row r="364" spans="1:7" ht="12.75" x14ac:dyDescent="0.2">
      <c r="A364" s="28"/>
      <c r="B364" s="28"/>
      <c r="C364" s="28"/>
      <c r="D364" s="28"/>
      <c r="E364" s="28"/>
      <c r="F364" s="28"/>
      <c r="G364" s="28"/>
    </row>
    <row r="365" spans="1:7" ht="12.75" x14ac:dyDescent="0.2">
      <c r="A365" s="28"/>
      <c r="B365" s="28"/>
      <c r="C365" s="28"/>
      <c r="D365" s="28"/>
      <c r="E365" s="28"/>
      <c r="F365" s="28"/>
      <c r="G365" s="28"/>
    </row>
    <row r="366" spans="1:7" ht="12.75" x14ac:dyDescent="0.2">
      <c r="A366" s="28"/>
      <c r="B366" s="28"/>
      <c r="C366" s="28"/>
      <c r="D366" s="28"/>
      <c r="E366" s="28"/>
      <c r="F366" s="28"/>
      <c r="G366" s="28"/>
    </row>
    <row r="367" spans="1:7" ht="12.75" x14ac:dyDescent="0.2">
      <c r="A367" s="28"/>
      <c r="B367" s="28"/>
      <c r="C367" s="28"/>
      <c r="D367" s="28"/>
      <c r="E367" s="28"/>
      <c r="F367" s="28"/>
      <c r="G367" s="28"/>
    </row>
    <row r="368" spans="1:7" ht="12.75" x14ac:dyDescent="0.2">
      <c r="A368" s="28"/>
      <c r="B368" s="28"/>
      <c r="C368" s="28"/>
      <c r="D368" s="28"/>
      <c r="E368" s="28"/>
      <c r="F368" s="28"/>
      <c r="G368" s="28"/>
    </row>
    <row r="369" spans="1:7" ht="12.75" x14ac:dyDescent="0.2">
      <c r="A369" s="28"/>
      <c r="B369" s="28"/>
      <c r="C369" s="28"/>
      <c r="D369" s="28"/>
      <c r="E369" s="28"/>
      <c r="F369" s="28"/>
      <c r="G369" s="28"/>
    </row>
    <row r="370" spans="1:7" ht="12.75" x14ac:dyDescent="0.2">
      <c r="A370" s="28"/>
      <c r="B370" s="28"/>
      <c r="C370" s="28"/>
      <c r="D370" s="28"/>
      <c r="E370" s="28"/>
      <c r="F370" s="28"/>
      <c r="G370" s="28"/>
    </row>
    <row r="371" spans="1:7" ht="12.75" x14ac:dyDescent="0.2">
      <c r="A371" s="28"/>
      <c r="B371" s="28"/>
      <c r="C371" s="28"/>
      <c r="D371" s="28"/>
      <c r="E371" s="28"/>
      <c r="F371" s="28"/>
      <c r="G371" s="28"/>
    </row>
    <row r="372" spans="1:7" ht="12.75" x14ac:dyDescent="0.2">
      <c r="A372" s="28"/>
      <c r="B372" s="28"/>
      <c r="C372" s="28"/>
      <c r="D372" s="28"/>
      <c r="E372" s="28"/>
      <c r="F372" s="28"/>
      <c r="G372" s="28"/>
    </row>
    <row r="373" spans="1:7" ht="12.75" x14ac:dyDescent="0.2">
      <c r="A373" s="28"/>
      <c r="B373" s="28"/>
      <c r="C373" s="28"/>
      <c r="D373" s="28"/>
      <c r="E373" s="28"/>
      <c r="F373" s="28"/>
      <c r="G373" s="28"/>
    </row>
    <row r="374" spans="1:7" ht="12.75" x14ac:dyDescent="0.2">
      <c r="A374" s="28"/>
      <c r="B374" s="28"/>
      <c r="C374" s="28"/>
      <c r="D374" s="28"/>
      <c r="E374" s="28"/>
      <c r="F374" s="28"/>
      <c r="G374" s="28"/>
    </row>
    <row r="375" spans="1:7" ht="12.75" x14ac:dyDescent="0.2">
      <c r="A375" s="28"/>
      <c r="B375" s="28"/>
      <c r="C375" s="28"/>
      <c r="D375" s="28"/>
      <c r="E375" s="28"/>
      <c r="F375" s="28"/>
      <c r="G375" s="28"/>
    </row>
    <row r="376" spans="1:7" ht="12.75" x14ac:dyDescent="0.2">
      <c r="A376" s="28"/>
      <c r="B376" s="28"/>
      <c r="C376" s="28"/>
      <c r="D376" s="28"/>
      <c r="E376" s="28"/>
      <c r="F376" s="28"/>
      <c r="G376" s="28"/>
    </row>
    <row r="377" spans="1:7" ht="12.75" x14ac:dyDescent="0.2">
      <c r="A377" s="28"/>
      <c r="B377" s="28"/>
      <c r="C377" s="28"/>
      <c r="D377" s="28"/>
      <c r="E377" s="28"/>
      <c r="F377" s="28"/>
      <c r="G377" s="28"/>
    </row>
    <row r="378" spans="1:7" ht="12.75" x14ac:dyDescent="0.2">
      <c r="A378" s="28"/>
      <c r="B378" s="28"/>
      <c r="C378" s="28"/>
      <c r="D378" s="28"/>
      <c r="E378" s="28"/>
      <c r="F378" s="28"/>
      <c r="G378" s="28"/>
    </row>
    <row r="379" spans="1:7" ht="12.75" x14ac:dyDescent="0.2">
      <c r="A379" s="28"/>
      <c r="B379" s="28"/>
      <c r="C379" s="28"/>
      <c r="D379" s="28"/>
      <c r="E379" s="28"/>
      <c r="F379" s="28"/>
      <c r="G379" s="28"/>
    </row>
    <row r="380" spans="1:7" ht="12.75" x14ac:dyDescent="0.2">
      <c r="A380" s="28"/>
      <c r="B380" s="28"/>
      <c r="C380" s="28"/>
      <c r="D380" s="28"/>
      <c r="E380" s="28"/>
      <c r="F380" s="28"/>
      <c r="G380" s="28"/>
    </row>
    <row r="381" spans="1:7" ht="12.75" x14ac:dyDescent="0.2">
      <c r="A381" s="28"/>
      <c r="B381" s="28"/>
      <c r="C381" s="28"/>
      <c r="D381" s="28"/>
      <c r="E381" s="28"/>
      <c r="F381" s="28"/>
      <c r="G381" s="28"/>
    </row>
    <row r="382" spans="1:7" ht="12.75" x14ac:dyDescent="0.2">
      <c r="A382" s="28"/>
      <c r="B382" s="28"/>
      <c r="C382" s="28"/>
      <c r="D382" s="28"/>
      <c r="E382" s="28"/>
      <c r="F382" s="28"/>
      <c r="G382" s="28"/>
    </row>
    <row r="383" spans="1:7" ht="12.75" x14ac:dyDescent="0.2">
      <c r="A383" s="28"/>
      <c r="B383" s="28"/>
      <c r="C383" s="28"/>
      <c r="D383" s="28"/>
      <c r="E383" s="28"/>
      <c r="F383" s="28"/>
      <c r="G383" s="28"/>
    </row>
    <row r="384" spans="1:7" ht="12.75" x14ac:dyDescent="0.2">
      <c r="A384" s="28"/>
      <c r="B384" s="28"/>
      <c r="C384" s="28"/>
      <c r="D384" s="28"/>
      <c r="E384" s="28"/>
      <c r="F384" s="28"/>
      <c r="G384" s="28"/>
    </row>
    <row r="385" spans="1:7" ht="12.75" x14ac:dyDescent="0.2">
      <c r="A385" s="28"/>
      <c r="B385" s="28"/>
      <c r="C385" s="28"/>
      <c r="D385" s="28"/>
      <c r="E385" s="28"/>
      <c r="F385" s="28"/>
      <c r="G385" s="28"/>
    </row>
    <row r="386" spans="1:7" ht="12.75" x14ac:dyDescent="0.2">
      <c r="A386" s="28"/>
      <c r="B386" s="28"/>
      <c r="C386" s="28"/>
      <c r="D386" s="28"/>
      <c r="E386" s="28"/>
      <c r="F386" s="28"/>
      <c r="G386" s="28"/>
    </row>
    <row r="387" spans="1:7" ht="12.75" x14ac:dyDescent="0.2">
      <c r="A387" s="28"/>
      <c r="B387" s="28"/>
      <c r="C387" s="28"/>
      <c r="D387" s="28"/>
      <c r="E387" s="28"/>
      <c r="F387" s="28"/>
      <c r="G387" s="28"/>
    </row>
    <row r="388" spans="1:7" ht="12.75" x14ac:dyDescent="0.2">
      <c r="A388" s="28"/>
      <c r="B388" s="28"/>
      <c r="C388" s="28"/>
      <c r="D388" s="28"/>
      <c r="E388" s="28"/>
      <c r="F388" s="28"/>
      <c r="G388" s="28"/>
    </row>
    <row r="389" spans="1:7" ht="12.75" x14ac:dyDescent="0.2">
      <c r="A389" s="28"/>
      <c r="B389" s="28"/>
      <c r="C389" s="28"/>
      <c r="D389" s="28"/>
      <c r="E389" s="28"/>
      <c r="F389" s="28"/>
      <c r="G389" s="28"/>
    </row>
    <row r="390" spans="1:7" ht="12.75" x14ac:dyDescent="0.2">
      <c r="A390" s="28"/>
      <c r="B390" s="28"/>
      <c r="C390" s="28"/>
      <c r="D390" s="28"/>
      <c r="E390" s="28"/>
      <c r="F390" s="28"/>
      <c r="G390" s="28"/>
    </row>
    <row r="391" spans="1:7" ht="12.75" x14ac:dyDescent="0.2">
      <c r="A391" s="28"/>
      <c r="B391" s="28"/>
      <c r="C391" s="28"/>
      <c r="D391" s="28"/>
      <c r="E391" s="28"/>
      <c r="F391" s="28"/>
      <c r="G391" s="28"/>
    </row>
    <row r="392" spans="1:7" ht="12.75" x14ac:dyDescent="0.2">
      <c r="A392" s="28"/>
      <c r="B392" s="28"/>
      <c r="C392" s="28"/>
      <c r="D392" s="28"/>
      <c r="E392" s="28"/>
      <c r="F392" s="28"/>
      <c r="G392" s="28"/>
    </row>
    <row r="393" spans="1:7" ht="12.75" x14ac:dyDescent="0.2">
      <c r="A393" s="28"/>
      <c r="B393" s="28"/>
      <c r="C393" s="28"/>
      <c r="D393" s="28"/>
      <c r="E393" s="28"/>
      <c r="F393" s="28"/>
      <c r="G393" s="28"/>
    </row>
    <row r="394" spans="1:7" ht="12.75" x14ac:dyDescent="0.2">
      <c r="A394" s="28"/>
      <c r="B394" s="28"/>
      <c r="C394" s="28"/>
      <c r="D394" s="28"/>
      <c r="E394" s="28"/>
      <c r="F394" s="28"/>
      <c r="G394" s="28"/>
    </row>
    <row r="395" spans="1:7" ht="12.75" x14ac:dyDescent="0.2">
      <c r="A395" s="28"/>
      <c r="B395" s="28"/>
      <c r="C395" s="28"/>
      <c r="D395" s="28"/>
      <c r="E395" s="28"/>
      <c r="F395" s="28"/>
      <c r="G395" s="28"/>
    </row>
    <row r="396" spans="1:7" ht="12.75" x14ac:dyDescent="0.2">
      <c r="A396" s="28"/>
      <c r="B396" s="28"/>
      <c r="C396" s="28"/>
      <c r="D396" s="28"/>
      <c r="E396" s="28"/>
      <c r="F396" s="28"/>
      <c r="G396" s="28"/>
    </row>
    <row r="397" spans="1:7" ht="12.75" x14ac:dyDescent="0.2">
      <c r="A397" s="28"/>
      <c r="B397" s="28"/>
      <c r="C397" s="28"/>
      <c r="D397" s="28"/>
      <c r="E397" s="28"/>
      <c r="F397" s="28"/>
      <c r="G397" s="28"/>
    </row>
    <row r="398" spans="1:7" ht="12.75" x14ac:dyDescent="0.2">
      <c r="A398" s="28"/>
      <c r="B398" s="28"/>
      <c r="C398" s="28"/>
      <c r="D398" s="28"/>
      <c r="E398" s="28"/>
      <c r="F398" s="28"/>
      <c r="G398" s="28"/>
    </row>
    <row r="399" spans="1:7" ht="12.75" x14ac:dyDescent="0.2">
      <c r="A399" s="28"/>
      <c r="B399" s="28"/>
      <c r="C399" s="28"/>
      <c r="D399" s="28"/>
      <c r="E399" s="28"/>
      <c r="F399" s="28"/>
      <c r="G399" s="28"/>
    </row>
    <row r="400" spans="1:7" ht="12.75" x14ac:dyDescent="0.2">
      <c r="A400" s="28"/>
      <c r="B400" s="28"/>
      <c r="C400" s="28"/>
      <c r="D400" s="28"/>
      <c r="E400" s="28"/>
      <c r="F400" s="28"/>
      <c r="G400" s="28"/>
    </row>
    <row r="401" spans="1:7" ht="12.75" x14ac:dyDescent="0.2">
      <c r="A401" s="28"/>
      <c r="B401" s="28"/>
      <c r="C401" s="28"/>
      <c r="D401" s="28"/>
      <c r="E401" s="28"/>
      <c r="F401" s="28"/>
      <c r="G401" s="28"/>
    </row>
    <row r="402" spans="1:7" ht="12.75" x14ac:dyDescent="0.2">
      <c r="A402" s="28"/>
      <c r="B402" s="28"/>
      <c r="C402" s="28"/>
      <c r="D402" s="28"/>
      <c r="E402" s="28"/>
      <c r="F402" s="28"/>
      <c r="G402" s="28"/>
    </row>
    <row r="403" spans="1:7" ht="12.75" x14ac:dyDescent="0.2">
      <c r="A403" s="28"/>
      <c r="B403" s="28"/>
      <c r="C403" s="28"/>
      <c r="D403" s="28"/>
      <c r="E403" s="28"/>
      <c r="F403" s="28"/>
      <c r="G403" s="28"/>
    </row>
    <row r="404" spans="1:7" ht="12.75" x14ac:dyDescent="0.2">
      <c r="A404" s="28"/>
      <c r="B404" s="28"/>
      <c r="C404" s="28"/>
      <c r="D404" s="28"/>
      <c r="E404" s="28"/>
      <c r="F404" s="28"/>
      <c r="G404" s="28"/>
    </row>
    <row r="405" spans="1:7" ht="12.75" x14ac:dyDescent="0.2">
      <c r="A405" s="28"/>
      <c r="B405" s="28"/>
      <c r="C405" s="28"/>
      <c r="D405" s="28"/>
      <c r="E405" s="28"/>
      <c r="F405" s="28"/>
      <c r="G405" s="28"/>
    </row>
    <row r="406" spans="1:7" ht="12.75" x14ac:dyDescent="0.2">
      <c r="A406" s="28"/>
      <c r="B406" s="28"/>
      <c r="C406" s="28"/>
      <c r="D406" s="28"/>
      <c r="E406" s="28"/>
      <c r="F406" s="28"/>
      <c r="G406" s="28"/>
    </row>
    <row r="407" spans="1:7" ht="12.75" x14ac:dyDescent="0.2">
      <c r="A407" s="28"/>
      <c r="B407" s="28"/>
      <c r="C407" s="28"/>
      <c r="D407" s="28"/>
      <c r="E407" s="28"/>
      <c r="F407" s="28"/>
      <c r="G407" s="28"/>
    </row>
    <row r="408" spans="1:7" ht="12.75" x14ac:dyDescent="0.2">
      <c r="A408" s="28"/>
      <c r="B408" s="28"/>
      <c r="C408" s="28"/>
      <c r="D408" s="28"/>
      <c r="E408" s="28"/>
      <c r="F408" s="28"/>
      <c r="G408" s="28"/>
    </row>
    <row r="409" spans="1:7" ht="12.75" x14ac:dyDescent="0.2">
      <c r="A409" s="28"/>
      <c r="B409" s="28"/>
      <c r="C409" s="28"/>
      <c r="D409" s="28"/>
      <c r="E409" s="28"/>
      <c r="F409" s="28"/>
      <c r="G409" s="28"/>
    </row>
    <row r="410" spans="1:7" ht="12.75" x14ac:dyDescent="0.2">
      <c r="A410" s="28"/>
      <c r="B410" s="28"/>
      <c r="C410" s="28"/>
      <c r="D410" s="28"/>
      <c r="E410" s="28"/>
      <c r="F410" s="28"/>
      <c r="G410" s="28"/>
    </row>
    <row r="411" spans="1:7" ht="12.75" x14ac:dyDescent="0.2">
      <c r="A411" s="28"/>
      <c r="B411" s="28"/>
      <c r="C411" s="28"/>
      <c r="D411" s="28"/>
      <c r="E411" s="28"/>
      <c r="F411" s="28"/>
      <c r="G411" s="28"/>
    </row>
    <row r="412" spans="1:7" ht="12.75" x14ac:dyDescent="0.2">
      <c r="A412" s="28"/>
      <c r="B412" s="28"/>
      <c r="C412" s="28"/>
      <c r="D412" s="28"/>
      <c r="E412" s="28"/>
      <c r="F412" s="28"/>
      <c r="G412" s="28"/>
    </row>
    <row r="413" spans="1:7" ht="12.75" x14ac:dyDescent="0.2">
      <c r="A413" s="28"/>
      <c r="B413" s="28"/>
      <c r="C413" s="28"/>
      <c r="D413" s="28"/>
      <c r="E413" s="28"/>
      <c r="F413" s="28"/>
      <c r="G413" s="28"/>
    </row>
    <row r="414" spans="1:7" ht="12.75" x14ac:dyDescent="0.2">
      <c r="A414" s="28"/>
      <c r="B414" s="28"/>
      <c r="C414" s="28"/>
      <c r="D414" s="28"/>
      <c r="E414" s="28"/>
      <c r="F414" s="28"/>
      <c r="G414" s="28"/>
    </row>
    <row r="415" spans="1:7" ht="12.75" x14ac:dyDescent="0.2">
      <c r="A415" s="28"/>
      <c r="B415" s="28"/>
      <c r="C415" s="28"/>
      <c r="D415" s="28"/>
      <c r="E415" s="28"/>
      <c r="F415" s="28"/>
      <c r="G415" s="28"/>
    </row>
    <row r="416" spans="1:7" ht="12.75" x14ac:dyDescent="0.2">
      <c r="A416" s="28"/>
      <c r="B416" s="28"/>
      <c r="C416" s="28"/>
      <c r="D416" s="28"/>
      <c r="E416" s="28"/>
      <c r="F416" s="28"/>
      <c r="G416" s="28"/>
    </row>
    <row r="417" spans="1:7" ht="12.75" x14ac:dyDescent="0.2">
      <c r="A417" s="28"/>
      <c r="B417" s="28"/>
      <c r="C417" s="28"/>
      <c r="D417" s="28"/>
      <c r="E417" s="28"/>
      <c r="F417" s="28"/>
      <c r="G417" s="28"/>
    </row>
    <row r="418" spans="1:7" ht="12.75" x14ac:dyDescent="0.2">
      <c r="A418" s="28"/>
      <c r="B418" s="28"/>
      <c r="C418" s="28"/>
      <c r="D418" s="28"/>
      <c r="E418" s="28"/>
      <c r="F418" s="28"/>
      <c r="G418" s="28"/>
    </row>
    <row r="419" spans="1:7" ht="12.75" x14ac:dyDescent="0.2">
      <c r="A419" s="28"/>
      <c r="B419" s="28"/>
      <c r="C419" s="28"/>
      <c r="D419" s="28"/>
      <c r="E419" s="28"/>
      <c r="F419" s="28"/>
      <c r="G419" s="28"/>
    </row>
    <row r="420" spans="1:7" ht="12.75" x14ac:dyDescent="0.2">
      <c r="A420" s="28"/>
      <c r="B420" s="28"/>
      <c r="C420" s="28"/>
      <c r="D420" s="28"/>
      <c r="E420" s="28"/>
      <c r="F420" s="28"/>
      <c r="G420" s="28"/>
    </row>
    <row r="421" spans="1:7" ht="12.75" x14ac:dyDescent="0.2">
      <c r="A421" s="28"/>
      <c r="B421" s="28"/>
      <c r="C421" s="28"/>
      <c r="D421" s="28"/>
      <c r="E421" s="28"/>
      <c r="F421" s="28"/>
      <c r="G421" s="28"/>
    </row>
    <row r="422" spans="1:7" ht="12.75" x14ac:dyDescent="0.2">
      <c r="A422" s="28"/>
      <c r="B422" s="28"/>
      <c r="C422" s="28"/>
      <c r="D422" s="28"/>
      <c r="E422" s="28"/>
      <c r="F422" s="28"/>
      <c r="G422" s="28"/>
    </row>
    <row r="423" spans="1:7" ht="12.75" x14ac:dyDescent="0.2">
      <c r="A423" s="28"/>
      <c r="B423" s="28"/>
      <c r="C423" s="28"/>
      <c r="D423" s="28"/>
      <c r="E423" s="28"/>
      <c r="F423" s="28"/>
      <c r="G423" s="28"/>
    </row>
    <row r="424" spans="1:7" ht="12.75" x14ac:dyDescent="0.2">
      <c r="A424" s="28"/>
      <c r="B424" s="28"/>
      <c r="C424" s="28"/>
      <c r="D424" s="28"/>
      <c r="E424" s="28"/>
      <c r="F424" s="28"/>
      <c r="G424" s="28"/>
    </row>
    <row r="425" spans="1:7" ht="12.75" x14ac:dyDescent="0.2">
      <c r="A425" s="28"/>
      <c r="B425" s="28"/>
      <c r="C425" s="28"/>
      <c r="D425" s="28"/>
      <c r="E425" s="28"/>
      <c r="F425" s="28"/>
      <c r="G425" s="28"/>
    </row>
    <row r="426" spans="1:7" ht="12.75" x14ac:dyDescent="0.2">
      <c r="A426" s="28"/>
      <c r="B426" s="28"/>
      <c r="C426" s="28"/>
      <c r="D426" s="28"/>
      <c r="E426" s="28"/>
      <c r="F426" s="28"/>
      <c r="G426" s="28"/>
    </row>
    <row r="427" spans="1:7" ht="12.75" x14ac:dyDescent="0.2">
      <c r="A427" s="28"/>
      <c r="B427" s="28"/>
      <c r="C427" s="28"/>
      <c r="D427" s="28"/>
      <c r="E427" s="28"/>
      <c r="F427" s="28"/>
      <c r="G427" s="28"/>
    </row>
    <row r="428" spans="1:7" ht="12.75" x14ac:dyDescent="0.2">
      <c r="A428" s="28"/>
      <c r="B428" s="28"/>
      <c r="C428" s="28"/>
      <c r="D428" s="28"/>
      <c r="E428" s="28"/>
      <c r="F428" s="28"/>
      <c r="G428" s="28"/>
    </row>
    <row r="429" spans="1:7" ht="12.75" x14ac:dyDescent="0.2">
      <c r="A429" s="28"/>
      <c r="B429" s="28"/>
      <c r="C429" s="28"/>
      <c r="D429" s="28"/>
      <c r="E429" s="28"/>
      <c r="F429" s="28"/>
      <c r="G429" s="28"/>
    </row>
    <row r="430" spans="1:7" ht="12.75" x14ac:dyDescent="0.2">
      <c r="A430" s="28"/>
      <c r="B430" s="28"/>
      <c r="C430" s="28"/>
      <c r="D430" s="28"/>
      <c r="E430" s="28"/>
      <c r="F430" s="28"/>
      <c r="G430" s="28"/>
    </row>
    <row r="431" spans="1:7" ht="12.75" x14ac:dyDescent="0.2">
      <c r="A431" s="28"/>
      <c r="B431" s="28"/>
      <c r="C431" s="28"/>
      <c r="D431" s="28"/>
      <c r="E431" s="28"/>
      <c r="F431" s="28"/>
      <c r="G431" s="28"/>
    </row>
    <row r="432" spans="1:7" ht="12.75" x14ac:dyDescent="0.2">
      <c r="A432" s="28"/>
      <c r="B432" s="28"/>
      <c r="C432" s="28"/>
      <c r="D432" s="28"/>
      <c r="E432" s="28"/>
      <c r="F432" s="28"/>
      <c r="G432" s="28"/>
    </row>
    <row r="433" spans="1:7" ht="12.75" x14ac:dyDescent="0.2">
      <c r="A433" s="28"/>
      <c r="B433" s="28"/>
      <c r="C433" s="28"/>
      <c r="D433" s="28"/>
      <c r="E433" s="28"/>
      <c r="F433" s="28"/>
      <c r="G433" s="28"/>
    </row>
    <row r="434" spans="1:7" ht="12.75" x14ac:dyDescent="0.2">
      <c r="A434" s="28"/>
      <c r="B434" s="28"/>
      <c r="C434" s="28"/>
      <c r="D434" s="28"/>
      <c r="E434" s="28"/>
      <c r="F434" s="28"/>
      <c r="G434" s="28"/>
    </row>
    <row r="435" spans="1:7" ht="12.75" x14ac:dyDescent="0.2">
      <c r="A435" s="28"/>
      <c r="B435" s="28"/>
      <c r="C435" s="28"/>
      <c r="D435" s="28"/>
      <c r="E435" s="28"/>
      <c r="F435" s="28"/>
      <c r="G435" s="28"/>
    </row>
    <row r="436" spans="1:7" ht="12.75" x14ac:dyDescent="0.2">
      <c r="A436" s="28"/>
      <c r="B436" s="28"/>
      <c r="C436" s="28"/>
      <c r="D436" s="28"/>
      <c r="E436" s="28"/>
      <c r="F436" s="28"/>
      <c r="G436" s="28"/>
    </row>
    <row r="437" spans="1:7" ht="12.75" x14ac:dyDescent="0.2">
      <c r="A437" s="28"/>
      <c r="B437" s="28"/>
      <c r="C437" s="28"/>
      <c r="D437" s="28"/>
      <c r="E437" s="28"/>
      <c r="F437" s="28"/>
      <c r="G437" s="28"/>
    </row>
    <row r="438" spans="1:7" ht="12.75" x14ac:dyDescent="0.2">
      <c r="A438" s="28"/>
      <c r="B438" s="28"/>
      <c r="C438" s="28"/>
      <c r="D438" s="28"/>
      <c r="E438" s="28"/>
      <c r="F438" s="28"/>
      <c r="G438" s="28"/>
    </row>
    <row r="439" spans="1:7" ht="12.75" x14ac:dyDescent="0.2">
      <c r="A439" s="28"/>
      <c r="B439" s="28"/>
      <c r="C439" s="28"/>
      <c r="D439" s="28"/>
      <c r="E439" s="28"/>
      <c r="F439" s="28"/>
      <c r="G439" s="28"/>
    </row>
    <row r="440" spans="1:7" ht="12.75" x14ac:dyDescent="0.2">
      <c r="A440" s="28"/>
      <c r="B440" s="28"/>
      <c r="C440" s="28"/>
      <c r="D440" s="28"/>
      <c r="E440" s="28"/>
      <c r="F440" s="28"/>
      <c r="G440" s="28"/>
    </row>
    <row r="441" spans="1:7" ht="12.75" x14ac:dyDescent="0.2">
      <c r="A441" s="28"/>
      <c r="B441" s="28"/>
      <c r="C441" s="28"/>
      <c r="D441" s="28"/>
      <c r="E441" s="28"/>
      <c r="F441" s="28"/>
      <c r="G441" s="28"/>
    </row>
    <row r="442" spans="1:7" ht="12.75" x14ac:dyDescent="0.2">
      <c r="A442" s="28"/>
      <c r="B442" s="28"/>
      <c r="C442" s="28"/>
      <c r="D442" s="28"/>
      <c r="E442" s="28"/>
      <c r="F442" s="28"/>
      <c r="G442" s="28"/>
    </row>
    <row r="443" spans="1:7" ht="12.75" x14ac:dyDescent="0.2">
      <c r="A443" s="28"/>
      <c r="B443" s="28"/>
      <c r="C443" s="28"/>
      <c r="D443" s="28"/>
      <c r="E443" s="28"/>
      <c r="F443" s="28"/>
      <c r="G443" s="28"/>
    </row>
    <row r="444" spans="1:7" ht="12.75" x14ac:dyDescent="0.2">
      <c r="A444" s="28"/>
      <c r="B444" s="28"/>
      <c r="C444" s="28"/>
      <c r="D444" s="28"/>
      <c r="E444" s="28"/>
      <c r="F444" s="28"/>
      <c r="G444" s="28"/>
    </row>
    <row r="445" spans="1:7" ht="12.75" x14ac:dyDescent="0.2">
      <c r="A445" s="28"/>
      <c r="B445" s="28"/>
      <c r="C445" s="28"/>
      <c r="D445" s="28"/>
      <c r="E445" s="28"/>
      <c r="F445" s="28"/>
      <c r="G445" s="28"/>
    </row>
    <row r="446" spans="1:7" ht="12.75" x14ac:dyDescent="0.2">
      <c r="A446" s="28"/>
      <c r="B446" s="28"/>
      <c r="C446" s="28"/>
      <c r="D446" s="28"/>
      <c r="E446" s="28"/>
      <c r="F446" s="28"/>
      <c r="G446" s="28"/>
    </row>
    <row r="447" spans="1:7" ht="12.75" x14ac:dyDescent="0.2">
      <c r="A447" s="28"/>
      <c r="B447" s="28"/>
      <c r="C447" s="28"/>
      <c r="D447" s="28"/>
      <c r="E447" s="28"/>
      <c r="F447" s="28"/>
      <c r="G447" s="28"/>
    </row>
    <row r="448" spans="1:7" ht="12.75" x14ac:dyDescent="0.2">
      <c r="A448" s="28"/>
      <c r="B448" s="28"/>
      <c r="C448" s="28"/>
      <c r="D448" s="28"/>
      <c r="E448" s="28"/>
      <c r="F448" s="28"/>
      <c r="G448" s="28"/>
    </row>
    <row r="449" spans="1:7" ht="12.75" x14ac:dyDescent="0.2">
      <c r="A449" s="28"/>
      <c r="B449" s="28"/>
      <c r="C449" s="28"/>
      <c r="D449" s="28"/>
      <c r="E449" s="28"/>
      <c r="F449" s="28"/>
      <c r="G449" s="28"/>
    </row>
    <row r="450" spans="1:7" ht="12.75" x14ac:dyDescent="0.2">
      <c r="A450" s="28"/>
      <c r="B450" s="28"/>
      <c r="C450" s="28"/>
      <c r="D450" s="28"/>
      <c r="E450" s="28"/>
      <c r="F450" s="28"/>
      <c r="G450" s="28"/>
    </row>
    <row r="451" spans="1:7" ht="12.75" x14ac:dyDescent="0.2">
      <c r="A451" s="28"/>
      <c r="B451" s="28"/>
      <c r="C451" s="28"/>
      <c r="D451" s="28"/>
      <c r="E451" s="28"/>
      <c r="F451" s="28"/>
      <c r="G451" s="28"/>
    </row>
    <row r="452" spans="1:7" ht="12.75" x14ac:dyDescent="0.2">
      <c r="A452" s="28"/>
      <c r="B452" s="28"/>
      <c r="C452" s="28"/>
      <c r="D452" s="28"/>
      <c r="E452" s="28"/>
      <c r="F452" s="28"/>
      <c r="G452" s="28"/>
    </row>
    <row r="453" spans="1:7" ht="12.75" x14ac:dyDescent="0.2">
      <c r="A453" s="28"/>
      <c r="B453" s="28"/>
      <c r="C453" s="28"/>
      <c r="D453" s="28"/>
      <c r="E453" s="28"/>
      <c r="F453" s="28"/>
      <c r="G453" s="28"/>
    </row>
    <row r="454" spans="1:7" ht="12.75" x14ac:dyDescent="0.2">
      <c r="A454" s="28"/>
      <c r="B454" s="28"/>
      <c r="C454" s="28"/>
      <c r="D454" s="28"/>
      <c r="E454" s="28"/>
      <c r="F454" s="28"/>
      <c r="G454" s="28"/>
    </row>
    <row r="455" spans="1:7" ht="12.75" x14ac:dyDescent="0.2">
      <c r="A455" s="28"/>
      <c r="B455" s="28"/>
      <c r="C455" s="28"/>
      <c r="D455" s="28"/>
      <c r="E455" s="28"/>
      <c r="F455" s="28"/>
      <c r="G455" s="28"/>
    </row>
    <row r="456" spans="1:7" ht="12.75" x14ac:dyDescent="0.2">
      <c r="A456" s="28"/>
      <c r="B456" s="28"/>
      <c r="C456" s="28"/>
      <c r="D456" s="28"/>
      <c r="E456" s="28"/>
      <c r="F456" s="28"/>
      <c r="G456" s="28"/>
    </row>
    <row r="457" spans="1:7" ht="12.75" x14ac:dyDescent="0.2">
      <c r="A457" s="28"/>
      <c r="B457" s="28"/>
      <c r="C457" s="28"/>
      <c r="D457" s="28"/>
      <c r="E457" s="28"/>
      <c r="F457" s="28"/>
      <c r="G457" s="28"/>
    </row>
    <row r="458" spans="1:7" ht="12.75" x14ac:dyDescent="0.2">
      <c r="A458" s="28"/>
      <c r="B458" s="28"/>
      <c r="C458" s="28"/>
      <c r="D458" s="28"/>
      <c r="E458" s="28"/>
      <c r="F458" s="28"/>
      <c r="G458" s="28"/>
    </row>
    <row r="459" spans="1:7" ht="12.75" x14ac:dyDescent="0.2">
      <c r="A459" s="28"/>
      <c r="B459" s="28"/>
      <c r="C459" s="28"/>
      <c r="D459" s="28"/>
      <c r="E459" s="28"/>
      <c r="F459" s="28"/>
      <c r="G459" s="28"/>
    </row>
    <row r="460" spans="1:7" ht="12.75" x14ac:dyDescent="0.2">
      <c r="A460" s="28"/>
      <c r="B460" s="28"/>
      <c r="C460" s="28"/>
      <c r="D460" s="28"/>
      <c r="E460" s="28"/>
      <c r="F460" s="28"/>
      <c r="G460" s="28"/>
    </row>
    <row r="461" spans="1:7" ht="12.75" x14ac:dyDescent="0.2">
      <c r="A461" s="28"/>
      <c r="B461" s="28"/>
      <c r="C461" s="28"/>
      <c r="D461" s="28"/>
      <c r="E461" s="28"/>
      <c r="F461" s="28"/>
      <c r="G461" s="28"/>
    </row>
    <row r="462" spans="1:7" ht="12.75" x14ac:dyDescent="0.2">
      <c r="A462" s="28"/>
      <c r="B462" s="28"/>
      <c r="C462" s="28"/>
      <c r="D462" s="28"/>
      <c r="E462" s="28"/>
      <c r="F462" s="28"/>
      <c r="G462" s="28"/>
    </row>
    <row r="463" spans="1:7" ht="12.75" x14ac:dyDescent="0.2">
      <c r="A463" s="28"/>
      <c r="B463" s="28"/>
      <c r="C463" s="28"/>
      <c r="D463" s="28"/>
      <c r="E463" s="28"/>
      <c r="F463" s="28"/>
      <c r="G463" s="28"/>
    </row>
    <row r="464" spans="1:7" ht="12.75" x14ac:dyDescent="0.2">
      <c r="A464" s="28"/>
      <c r="B464" s="28"/>
      <c r="C464" s="28"/>
      <c r="D464" s="28"/>
      <c r="E464" s="28"/>
      <c r="F464" s="28"/>
      <c r="G464" s="28"/>
    </row>
    <row r="465" spans="1:7" ht="12.75" x14ac:dyDescent="0.2">
      <c r="A465" s="28"/>
      <c r="B465" s="28"/>
      <c r="C465" s="28"/>
      <c r="D465" s="28"/>
      <c r="E465" s="28"/>
      <c r="F465" s="28"/>
      <c r="G465" s="28"/>
    </row>
    <row r="466" spans="1:7" ht="12.75" x14ac:dyDescent="0.2">
      <c r="A466" s="28"/>
      <c r="B466" s="28"/>
      <c r="C466" s="28"/>
      <c r="D466" s="28"/>
      <c r="E466" s="28"/>
      <c r="F466" s="28"/>
      <c r="G466" s="28"/>
    </row>
    <row r="467" spans="1:7" ht="12.75" x14ac:dyDescent="0.2">
      <c r="A467" s="28"/>
      <c r="B467" s="28"/>
      <c r="C467" s="28"/>
      <c r="D467" s="28"/>
      <c r="E467" s="28"/>
      <c r="F467" s="28"/>
      <c r="G467" s="28"/>
    </row>
    <row r="468" spans="1:7" ht="12.75" x14ac:dyDescent="0.2">
      <c r="A468" s="28"/>
      <c r="B468" s="28"/>
      <c r="C468" s="28"/>
      <c r="D468" s="28"/>
      <c r="E468" s="28"/>
      <c r="F468" s="28"/>
      <c r="G468" s="28"/>
    </row>
    <row r="469" spans="1:7" ht="12.75" x14ac:dyDescent="0.2">
      <c r="A469" s="28"/>
      <c r="B469" s="28"/>
      <c r="C469" s="28"/>
      <c r="D469" s="28"/>
      <c r="E469" s="28"/>
      <c r="F469" s="28"/>
      <c r="G469" s="28"/>
    </row>
    <row r="470" spans="1:7" ht="12.75" x14ac:dyDescent="0.2">
      <c r="A470" s="28"/>
      <c r="B470" s="28"/>
      <c r="C470" s="28"/>
      <c r="D470" s="28"/>
      <c r="E470" s="28"/>
      <c r="F470" s="28"/>
      <c r="G470" s="28"/>
    </row>
    <row r="471" spans="1:7" ht="12.75" x14ac:dyDescent="0.2">
      <c r="A471" s="28"/>
      <c r="B471" s="28"/>
      <c r="C471" s="28"/>
      <c r="D471" s="28"/>
      <c r="E471" s="28"/>
      <c r="F471" s="28"/>
      <c r="G471" s="28"/>
    </row>
    <row r="472" spans="1:7" ht="12.75" x14ac:dyDescent="0.2">
      <c r="A472" s="28"/>
      <c r="B472" s="28"/>
      <c r="C472" s="28"/>
      <c r="D472" s="28"/>
      <c r="E472" s="28"/>
      <c r="F472" s="28"/>
      <c r="G472" s="28"/>
    </row>
    <row r="473" spans="1:7" ht="12.75" x14ac:dyDescent="0.2">
      <c r="A473" s="28"/>
      <c r="B473" s="28"/>
      <c r="C473" s="28"/>
      <c r="D473" s="28"/>
      <c r="E473" s="28"/>
      <c r="F473" s="28"/>
      <c r="G473" s="28"/>
    </row>
    <row r="474" spans="1:7" ht="12.75" x14ac:dyDescent="0.2">
      <c r="A474" s="28"/>
      <c r="B474" s="28"/>
      <c r="C474" s="28"/>
      <c r="D474" s="28"/>
      <c r="E474" s="28"/>
      <c r="F474" s="28"/>
      <c r="G474" s="28"/>
    </row>
    <row r="475" spans="1:7" ht="12.75" x14ac:dyDescent="0.2">
      <c r="A475" s="28"/>
      <c r="B475" s="28"/>
      <c r="C475" s="28"/>
      <c r="D475" s="28"/>
      <c r="E475" s="28"/>
      <c r="F475" s="28"/>
      <c r="G475" s="28"/>
    </row>
    <row r="476" spans="1:7" ht="12.75" x14ac:dyDescent="0.2">
      <c r="A476" s="28"/>
      <c r="B476" s="28"/>
      <c r="C476" s="28"/>
      <c r="D476" s="28"/>
      <c r="E476" s="28"/>
      <c r="F476" s="28"/>
      <c r="G476" s="28"/>
    </row>
    <row r="477" spans="1:7" ht="12.75" x14ac:dyDescent="0.2">
      <c r="A477" s="28"/>
      <c r="B477" s="28"/>
      <c r="C477" s="28"/>
      <c r="D477" s="28"/>
      <c r="E477" s="28"/>
      <c r="F477" s="28"/>
      <c r="G477" s="28"/>
    </row>
    <row r="478" spans="1:7" ht="12.75" x14ac:dyDescent="0.2">
      <c r="A478" s="28"/>
      <c r="B478" s="28"/>
      <c r="C478" s="28"/>
      <c r="D478" s="28"/>
      <c r="E478" s="28"/>
      <c r="F478" s="28"/>
      <c r="G478" s="28"/>
    </row>
    <row r="479" spans="1:7" ht="12.75" x14ac:dyDescent="0.2">
      <c r="A479" s="28"/>
      <c r="B479" s="28"/>
      <c r="C479" s="28"/>
      <c r="D479" s="28"/>
      <c r="E479" s="28"/>
      <c r="F479" s="28"/>
      <c r="G479" s="28"/>
    </row>
    <row r="480" spans="1:7" ht="12.75" x14ac:dyDescent="0.2">
      <c r="A480" s="28"/>
      <c r="B480" s="28"/>
      <c r="C480" s="28"/>
      <c r="D480" s="28"/>
      <c r="E480" s="28"/>
      <c r="F480" s="28"/>
      <c r="G480" s="28"/>
    </row>
    <row r="481" spans="1:7" ht="12.75" x14ac:dyDescent="0.2">
      <c r="A481" s="28"/>
      <c r="B481" s="28"/>
      <c r="C481" s="28"/>
      <c r="D481" s="28"/>
      <c r="E481" s="28"/>
      <c r="F481" s="28"/>
      <c r="G481" s="28"/>
    </row>
    <row r="482" spans="1:7" ht="12.75" x14ac:dyDescent="0.2">
      <c r="A482" s="28"/>
      <c r="B482" s="28"/>
      <c r="C482" s="28"/>
      <c r="D482" s="28"/>
      <c r="E482" s="28"/>
      <c r="F482" s="28"/>
      <c r="G482" s="28"/>
    </row>
    <row r="483" spans="1:7" ht="12.75" x14ac:dyDescent="0.2">
      <c r="A483" s="28"/>
      <c r="B483" s="28"/>
      <c r="C483" s="28"/>
      <c r="D483" s="28"/>
      <c r="E483" s="28"/>
      <c r="F483" s="28"/>
      <c r="G483" s="28"/>
    </row>
    <row r="484" spans="1:7" ht="12.75" x14ac:dyDescent="0.2">
      <c r="A484" s="28"/>
      <c r="B484" s="28"/>
      <c r="C484" s="28"/>
      <c r="D484" s="28"/>
      <c r="E484" s="28"/>
      <c r="F484" s="28"/>
      <c r="G484" s="28"/>
    </row>
    <row r="485" spans="1:7" ht="12.75" x14ac:dyDescent="0.2">
      <c r="A485" s="28"/>
      <c r="B485" s="28"/>
      <c r="C485" s="28"/>
      <c r="D485" s="28"/>
      <c r="E485" s="28"/>
      <c r="F485" s="28"/>
      <c r="G485" s="28"/>
    </row>
    <row r="486" spans="1:7" ht="12.75" x14ac:dyDescent="0.2">
      <c r="A486" s="28"/>
      <c r="B486" s="28"/>
      <c r="C486" s="28"/>
      <c r="D486" s="28"/>
      <c r="E486" s="28"/>
      <c r="F486" s="28"/>
      <c r="G486" s="28"/>
    </row>
    <row r="487" spans="1:7" ht="12.75" x14ac:dyDescent="0.2">
      <c r="A487" s="28"/>
      <c r="B487" s="28"/>
      <c r="C487" s="28"/>
      <c r="D487" s="28"/>
      <c r="E487" s="28"/>
      <c r="F487" s="28"/>
      <c r="G487" s="28"/>
    </row>
    <row r="488" spans="1:7" ht="12.75" x14ac:dyDescent="0.2">
      <c r="A488" s="28"/>
      <c r="B488" s="28"/>
      <c r="C488" s="28"/>
      <c r="D488" s="28"/>
      <c r="E488" s="28"/>
      <c r="F488" s="28"/>
      <c r="G488" s="28"/>
    </row>
    <row r="489" spans="1:7" ht="12.75" x14ac:dyDescent="0.2">
      <c r="A489" s="28"/>
      <c r="B489" s="28"/>
      <c r="C489" s="28"/>
      <c r="D489" s="28"/>
      <c r="E489" s="28"/>
      <c r="F489" s="28"/>
      <c r="G489" s="28"/>
    </row>
    <row r="490" spans="1:7" ht="12.75" x14ac:dyDescent="0.2">
      <c r="A490" s="28"/>
      <c r="B490" s="28"/>
      <c r="C490" s="28"/>
      <c r="D490" s="28"/>
      <c r="E490" s="28"/>
      <c r="F490" s="28"/>
      <c r="G490" s="28"/>
    </row>
    <row r="491" spans="1:7" ht="12.75" x14ac:dyDescent="0.2">
      <c r="A491" s="28"/>
      <c r="B491" s="28"/>
      <c r="C491" s="28"/>
      <c r="D491" s="28"/>
      <c r="E491" s="28"/>
      <c r="F491" s="28"/>
      <c r="G491" s="28"/>
    </row>
    <row r="492" spans="1:7" ht="12.75" x14ac:dyDescent="0.2">
      <c r="A492" s="28"/>
      <c r="B492" s="28"/>
      <c r="C492" s="28"/>
      <c r="D492" s="28"/>
      <c r="E492" s="28"/>
      <c r="F492" s="28"/>
      <c r="G492" s="28"/>
    </row>
    <row r="493" spans="1:7" ht="12.75" x14ac:dyDescent="0.2">
      <c r="A493" s="28"/>
      <c r="B493" s="28"/>
      <c r="C493" s="28"/>
      <c r="D493" s="28"/>
      <c r="E493" s="28"/>
      <c r="F493" s="28"/>
      <c r="G493" s="28"/>
    </row>
    <row r="494" spans="1:7" ht="12.75" x14ac:dyDescent="0.2">
      <c r="A494" s="28"/>
      <c r="B494" s="28"/>
      <c r="C494" s="28"/>
      <c r="D494" s="28"/>
      <c r="E494" s="28"/>
      <c r="F494" s="28"/>
      <c r="G494" s="28"/>
    </row>
    <row r="495" spans="1:7" ht="12.75" x14ac:dyDescent="0.2">
      <c r="A495" s="28"/>
      <c r="B495" s="28"/>
      <c r="C495" s="28"/>
      <c r="D495" s="28"/>
      <c r="E495" s="28"/>
      <c r="F495" s="28"/>
      <c r="G495" s="28"/>
    </row>
    <row r="496" spans="1:7" ht="12.75" x14ac:dyDescent="0.2">
      <c r="A496" s="28"/>
      <c r="B496" s="28"/>
      <c r="C496" s="28"/>
      <c r="D496" s="28"/>
      <c r="E496" s="28"/>
      <c r="F496" s="28"/>
      <c r="G496" s="28"/>
    </row>
    <row r="497" spans="1:7" ht="12.75" x14ac:dyDescent="0.2">
      <c r="A497" s="28"/>
      <c r="B497" s="28"/>
      <c r="C497" s="28"/>
      <c r="D497" s="28"/>
      <c r="E497" s="28"/>
      <c r="F497" s="28"/>
      <c r="G497" s="28"/>
    </row>
    <row r="498" spans="1:7" ht="12.75" x14ac:dyDescent="0.2">
      <c r="A498" s="28"/>
      <c r="B498" s="28"/>
      <c r="C498" s="28"/>
      <c r="D498" s="28"/>
      <c r="E498" s="28"/>
      <c r="F498" s="28"/>
      <c r="G498" s="28"/>
    </row>
    <row r="499" spans="1:7" ht="12.75" x14ac:dyDescent="0.2">
      <c r="A499" s="28"/>
      <c r="B499" s="28"/>
      <c r="C499" s="28"/>
      <c r="D499" s="28"/>
      <c r="E499" s="28"/>
      <c r="F499" s="28"/>
      <c r="G499" s="28"/>
    </row>
    <row r="500" spans="1:7" ht="12.75" x14ac:dyDescent="0.2">
      <c r="A500" s="28"/>
      <c r="B500" s="28"/>
      <c r="C500" s="28"/>
      <c r="D500" s="28"/>
      <c r="E500" s="28"/>
      <c r="F500" s="28"/>
      <c r="G500" s="28"/>
    </row>
    <row r="501" spans="1:7" ht="12.75" x14ac:dyDescent="0.2">
      <c r="A501" s="28"/>
      <c r="B501" s="28"/>
      <c r="C501" s="28"/>
      <c r="D501" s="28"/>
      <c r="E501" s="28"/>
      <c r="F501" s="28"/>
      <c r="G501" s="28"/>
    </row>
    <row r="502" spans="1:7" ht="12.75" x14ac:dyDescent="0.2">
      <c r="A502" s="28"/>
      <c r="B502" s="28"/>
      <c r="C502" s="28"/>
      <c r="D502" s="28"/>
      <c r="E502" s="28"/>
      <c r="F502" s="28"/>
      <c r="G502" s="28"/>
    </row>
    <row r="503" spans="1:7" ht="12.75" x14ac:dyDescent="0.2">
      <c r="A503" s="28"/>
      <c r="B503" s="28"/>
      <c r="C503" s="28"/>
      <c r="D503" s="28"/>
      <c r="E503" s="28"/>
      <c r="F503" s="28"/>
      <c r="G503" s="28"/>
    </row>
    <row r="504" spans="1:7" ht="12.75" x14ac:dyDescent="0.2">
      <c r="A504" s="28"/>
      <c r="B504" s="28"/>
      <c r="C504" s="28"/>
      <c r="D504" s="28"/>
      <c r="E504" s="28"/>
      <c r="F504" s="28"/>
      <c r="G504" s="28"/>
    </row>
    <row r="505" spans="1:7" ht="12.75" x14ac:dyDescent="0.2">
      <c r="A505" s="28"/>
      <c r="B505" s="28"/>
      <c r="C505" s="28"/>
      <c r="D505" s="28"/>
      <c r="E505" s="28"/>
      <c r="F505" s="28"/>
      <c r="G505" s="28"/>
    </row>
    <row r="506" spans="1:7" ht="12.75" x14ac:dyDescent="0.2">
      <c r="A506" s="28"/>
      <c r="B506" s="28"/>
      <c r="C506" s="28"/>
      <c r="D506" s="28"/>
      <c r="E506" s="28"/>
      <c r="F506" s="28"/>
      <c r="G506" s="28"/>
    </row>
    <row r="507" spans="1:7" ht="12.75" x14ac:dyDescent="0.2">
      <c r="A507" s="28"/>
      <c r="B507" s="28"/>
      <c r="C507" s="28"/>
      <c r="D507" s="28"/>
      <c r="E507" s="28"/>
      <c r="F507" s="28"/>
      <c r="G507" s="28"/>
    </row>
    <row r="508" spans="1:7" ht="12.75" x14ac:dyDescent="0.2">
      <c r="A508" s="28"/>
      <c r="B508" s="28"/>
      <c r="C508" s="28"/>
      <c r="D508" s="28"/>
      <c r="E508" s="28"/>
      <c r="F508" s="28"/>
      <c r="G508" s="28"/>
    </row>
    <row r="509" spans="1:7" ht="12.75" x14ac:dyDescent="0.2">
      <c r="A509" s="28"/>
      <c r="B509" s="28"/>
      <c r="C509" s="28"/>
      <c r="D509" s="28"/>
      <c r="E509" s="28"/>
      <c r="F509" s="28"/>
      <c r="G509" s="28"/>
    </row>
    <row r="510" spans="1:7" ht="12.75" x14ac:dyDescent="0.2">
      <c r="A510" s="28"/>
      <c r="B510" s="28"/>
      <c r="C510" s="28"/>
      <c r="D510" s="28"/>
      <c r="E510" s="28"/>
      <c r="F510" s="28"/>
      <c r="G510" s="28"/>
    </row>
    <row r="511" spans="1:7" ht="12.75" x14ac:dyDescent="0.2">
      <c r="A511" s="28"/>
      <c r="B511" s="28"/>
      <c r="C511" s="28"/>
      <c r="D511" s="28"/>
      <c r="E511" s="28"/>
      <c r="F511" s="28"/>
      <c r="G511" s="28"/>
    </row>
    <row r="512" spans="1:7" ht="12.75" x14ac:dyDescent="0.2">
      <c r="A512" s="28"/>
      <c r="B512" s="28"/>
      <c r="C512" s="28"/>
      <c r="D512" s="28"/>
      <c r="E512" s="28"/>
      <c r="F512" s="28"/>
      <c r="G512" s="28"/>
    </row>
    <row r="513" spans="1:7" ht="12.75" x14ac:dyDescent="0.2">
      <c r="A513" s="28"/>
      <c r="B513" s="28"/>
      <c r="C513" s="28"/>
      <c r="D513" s="28"/>
      <c r="E513" s="28"/>
      <c r="F513" s="28"/>
      <c r="G513" s="28"/>
    </row>
    <row r="514" spans="1:7" ht="12.75" x14ac:dyDescent="0.2">
      <c r="A514" s="28"/>
      <c r="B514" s="28"/>
      <c r="C514" s="28"/>
      <c r="D514" s="28"/>
      <c r="E514" s="28"/>
      <c r="F514" s="28"/>
      <c r="G514" s="28"/>
    </row>
    <row r="515" spans="1:7" ht="12.75" x14ac:dyDescent="0.2">
      <c r="A515" s="28"/>
      <c r="B515" s="28"/>
      <c r="C515" s="28"/>
      <c r="D515" s="28"/>
      <c r="E515" s="28"/>
      <c r="F515" s="28"/>
      <c r="G515" s="28"/>
    </row>
    <row r="516" spans="1:7" ht="12.75" x14ac:dyDescent="0.2">
      <c r="A516" s="28"/>
      <c r="B516" s="28"/>
      <c r="C516" s="28"/>
      <c r="D516" s="28"/>
      <c r="E516" s="28"/>
      <c r="F516" s="28"/>
      <c r="G516" s="28"/>
    </row>
    <row r="517" spans="1:7" ht="12.75" x14ac:dyDescent="0.2">
      <c r="A517" s="28"/>
      <c r="B517" s="28"/>
      <c r="C517" s="28"/>
      <c r="D517" s="28"/>
      <c r="E517" s="28"/>
      <c r="F517" s="28"/>
      <c r="G517" s="28"/>
    </row>
    <row r="518" spans="1:7" ht="12.75" x14ac:dyDescent="0.2">
      <c r="A518" s="28"/>
      <c r="B518" s="28"/>
      <c r="C518" s="28"/>
      <c r="D518" s="28"/>
      <c r="E518" s="28"/>
      <c r="F518" s="28"/>
      <c r="G518" s="28"/>
    </row>
    <row r="519" spans="1:7" ht="12.75" x14ac:dyDescent="0.2">
      <c r="A519" s="28"/>
      <c r="B519" s="28"/>
      <c r="C519" s="28"/>
      <c r="D519" s="28"/>
      <c r="E519" s="28"/>
      <c r="F519" s="28"/>
      <c r="G519" s="28"/>
    </row>
    <row r="520" spans="1:7" ht="12.75" x14ac:dyDescent="0.2">
      <c r="A520" s="28"/>
      <c r="B520" s="28"/>
      <c r="C520" s="28"/>
      <c r="D520" s="28"/>
      <c r="E520" s="28"/>
      <c r="F520" s="28"/>
      <c r="G520" s="28"/>
    </row>
    <row r="521" spans="1:7" ht="12.75" x14ac:dyDescent="0.2">
      <c r="A521" s="28"/>
      <c r="B521" s="28"/>
      <c r="C521" s="28"/>
      <c r="D521" s="28"/>
      <c r="E521" s="28"/>
      <c r="F521" s="28"/>
      <c r="G521" s="28"/>
    </row>
    <row r="522" spans="1:7" ht="12.75" x14ac:dyDescent="0.2">
      <c r="A522" s="28"/>
      <c r="B522" s="28"/>
      <c r="C522" s="28"/>
      <c r="D522" s="28"/>
      <c r="E522" s="28"/>
      <c r="F522" s="28"/>
      <c r="G522" s="28"/>
    </row>
    <row r="523" spans="1:7" ht="12.75" x14ac:dyDescent="0.2">
      <c r="A523" s="28"/>
      <c r="B523" s="28"/>
      <c r="C523" s="28"/>
      <c r="D523" s="28"/>
      <c r="E523" s="28"/>
      <c r="F523" s="28"/>
      <c r="G523" s="28"/>
    </row>
    <row r="524" spans="1:7" ht="12.75" x14ac:dyDescent="0.2">
      <c r="A524" s="28"/>
      <c r="B524" s="28"/>
      <c r="C524" s="28"/>
      <c r="D524" s="28"/>
      <c r="E524" s="28"/>
      <c r="F524" s="28"/>
      <c r="G524" s="28"/>
    </row>
    <row r="525" spans="1:7" ht="12.75" x14ac:dyDescent="0.2">
      <c r="A525" s="28"/>
      <c r="B525" s="28"/>
      <c r="C525" s="28"/>
      <c r="D525" s="28"/>
      <c r="E525" s="28"/>
      <c r="F525" s="28"/>
      <c r="G525" s="28"/>
    </row>
    <row r="526" spans="1:7" ht="12.75" x14ac:dyDescent="0.2">
      <c r="A526" s="28"/>
      <c r="B526" s="28"/>
      <c r="C526" s="28"/>
      <c r="D526" s="28"/>
      <c r="E526" s="28"/>
      <c r="F526" s="28"/>
      <c r="G526" s="28"/>
    </row>
    <row r="527" spans="1:7" ht="12.75" x14ac:dyDescent="0.2">
      <c r="A527" s="28"/>
      <c r="B527" s="28"/>
      <c r="C527" s="28"/>
      <c r="D527" s="28"/>
      <c r="E527" s="28"/>
      <c r="F527" s="28"/>
      <c r="G527" s="28"/>
    </row>
    <row r="528" spans="1:7" ht="12.75" x14ac:dyDescent="0.2">
      <c r="A528" s="28"/>
      <c r="B528" s="28"/>
      <c r="C528" s="28"/>
      <c r="D528" s="28"/>
      <c r="E528" s="28"/>
      <c r="F528" s="28"/>
      <c r="G528" s="28"/>
    </row>
    <row r="529" spans="1:7" ht="12.75" x14ac:dyDescent="0.2">
      <c r="A529" s="28"/>
      <c r="B529" s="28"/>
      <c r="C529" s="28"/>
      <c r="D529" s="28"/>
      <c r="E529" s="28"/>
      <c r="F529" s="28"/>
      <c r="G529" s="28"/>
    </row>
    <row r="530" spans="1:7" ht="12.75" x14ac:dyDescent="0.2">
      <c r="A530" s="28"/>
      <c r="B530" s="28"/>
      <c r="C530" s="28"/>
      <c r="D530" s="28"/>
      <c r="E530" s="28"/>
      <c r="F530" s="28"/>
      <c r="G530" s="28"/>
    </row>
    <row r="531" spans="1:7" ht="12.75" x14ac:dyDescent="0.2">
      <c r="A531" s="28"/>
      <c r="B531" s="28"/>
      <c r="C531" s="28"/>
      <c r="D531" s="28"/>
      <c r="E531" s="28"/>
      <c r="F531" s="28"/>
      <c r="G531" s="28"/>
    </row>
    <row r="532" spans="1:7" ht="12.75" x14ac:dyDescent="0.2">
      <c r="A532" s="28"/>
      <c r="B532" s="28"/>
      <c r="C532" s="28"/>
      <c r="D532" s="28"/>
      <c r="E532" s="28"/>
      <c r="F532" s="28"/>
      <c r="G532" s="28"/>
    </row>
    <row r="533" spans="1:7" ht="12.75" x14ac:dyDescent="0.2">
      <c r="A533" s="28"/>
      <c r="B533" s="28"/>
      <c r="C533" s="28"/>
      <c r="D533" s="28"/>
      <c r="E533" s="28"/>
      <c r="F533" s="28"/>
      <c r="G533" s="28"/>
    </row>
    <row r="534" spans="1:7" ht="12.75" x14ac:dyDescent="0.2">
      <c r="A534" s="28"/>
      <c r="B534" s="28"/>
      <c r="C534" s="28"/>
      <c r="D534" s="28"/>
      <c r="E534" s="28"/>
      <c r="F534" s="28"/>
      <c r="G534" s="28"/>
    </row>
    <row r="535" spans="1:7" ht="12.75" x14ac:dyDescent="0.2">
      <c r="A535" s="28"/>
      <c r="B535" s="28"/>
      <c r="C535" s="28"/>
      <c r="D535" s="28"/>
      <c r="E535" s="28"/>
      <c r="F535" s="28"/>
      <c r="G535" s="28"/>
    </row>
    <row r="536" spans="1:7" ht="12.75" x14ac:dyDescent="0.2">
      <c r="A536" s="28"/>
      <c r="B536" s="28"/>
      <c r="C536" s="28"/>
      <c r="D536" s="28"/>
      <c r="E536" s="28"/>
      <c r="F536" s="28"/>
      <c r="G536" s="28"/>
    </row>
    <row r="537" spans="1:7" ht="12.75" x14ac:dyDescent="0.2">
      <c r="A537" s="28"/>
      <c r="B537" s="28"/>
      <c r="C537" s="28"/>
      <c r="D537" s="28"/>
      <c r="E537" s="28"/>
      <c r="F537" s="28"/>
      <c r="G537" s="28"/>
    </row>
    <row r="538" spans="1:7" ht="12.75" x14ac:dyDescent="0.2">
      <c r="A538" s="28"/>
      <c r="B538" s="28"/>
      <c r="C538" s="28"/>
      <c r="D538" s="28"/>
      <c r="E538" s="28"/>
      <c r="F538" s="28"/>
      <c r="G538" s="28"/>
    </row>
    <row r="539" spans="1:7" ht="12.75" x14ac:dyDescent="0.2">
      <c r="A539" s="28"/>
      <c r="B539" s="28"/>
      <c r="C539" s="28"/>
      <c r="D539" s="28"/>
      <c r="E539" s="28"/>
      <c r="F539" s="28"/>
      <c r="G539" s="28"/>
    </row>
    <row r="540" spans="1:7" ht="12.75" x14ac:dyDescent="0.2">
      <c r="A540" s="28"/>
      <c r="B540" s="28"/>
      <c r="C540" s="28"/>
      <c r="D540" s="28"/>
      <c r="E540" s="28"/>
      <c r="F540" s="28"/>
      <c r="G540" s="28"/>
    </row>
    <row r="541" spans="1:7" ht="12.75" x14ac:dyDescent="0.2">
      <c r="A541" s="28"/>
      <c r="B541" s="28"/>
      <c r="C541" s="28"/>
      <c r="D541" s="28"/>
      <c r="E541" s="28"/>
      <c r="F541" s="28"/>
      <c r="G541" s="28"/>
    </row>
    <row r="542" spans="1:7" ht="12.75" x14ac:dyDescent="0.2">
      <c r="A542" s="28"/>
      <c r="B542" s="28"/>
      <c r="C542" s="28"/>
      <c r="D542" s="28"/>
      <c r="E542" s="28"/>
      <c r="F542" s="28"/>
      <c r="G542" s="28"/>
    </row>
    <row r="543" spans="1:7" ht="12.75" x14ac:dyDescent="0.2">
      <c r="A543" s="28"/>
      <c r="B543" s="28"/>
      <c r="C543" s="28"/>
      <c r="D543" s="28"/>
      <c r="E543" s="28"/>
      <c r="F543" s="28"/>
      <c r="G543" s="28"/>
    </row>
    <row r="544" spans="1:7" ht="12.75" x14ac:dyDescent="0.2">
      <c r="A544" s="28"/>
      <c r="B544" s="28"/>
      <c r="C544" s="28"/>
      <c r="D544" s="28"/>
      <c r="E544" s="28"/>
      <c r="F544" s="28"/>
      <c r="G544" s="28"/>
    </row>
    <row r="545" spans="1:7" ht="12.75" x14ac:dyDescent="0.2">
      <c r="A545" s="28"/>
      <c r="B545" s="28"/>
      <c r="C545" s="28"/>
      <c r="D545" s="28"/>
      <c r="E545" s="28"/>
      <c r="F545" s="28"/>
      <c r="G545" s="28"/>
    </row>
    <row r="546" spans="1:7" ht="12.75" x14ac:dyDescent="0.2">
      <c r="A546" s="28"/>
      <c r="B546" s="28"/>
      <c r="C546" s="28"/>
      <c r="D546" s="28"/>
      <c r="E546" s="28"/>
      <c r="F546" s="28"/>
      <c r="G546" s="28"/>
    </row>
    <row r="547" spans="1:7" ht="12.75" x14ac:dyDescent="0.2">
      <c r="A547" s="28"/>
      <c r="B547" s="28"/>
      <c r="C547" s="28"/>
      <c r="D547" s="28"/>
      <c r="E547" s="28"/>
      <c r="F547" s="28"/>
      <c r="G547" s="28"/>
    </row>
    <row r="548" spans="1:7" ht="12.75" x14ac:dyDescent="0.2">
      <c r="A548" s="28"/>
      <c r="B548" s="28"/>
      <c r="C548" s="28"/>
      <c r="D548" s="28"/>
      <c r="E548" s="28"/>
      <c r="F548" s="28"/>
      <c r="G548" s="28"/>
    </row>
    <row r="549" spans="1:7" ht="12.75" x14ac:dyDescent="0.2">
      <c r="A549" s="28"/>
      <c r="B549" s="28"/>
      <c r="C549" s="28"/>
      <c r="D549" s="28"/>
      <c r="E549" s="28"/>
      <c r="F549" s="28"/>
      <c r="G549" s="28"/>
    </row>
    <row r="550" spans="1:7" ht="12.75" x14ac:dyDescent="0.2">
      <c r="A550" s="28"/>
      <c r="B550" s="28"/>
      <c r="C550" s="28"/>
      <c r="D550" s="28"/>
      <c r="E550" s="28"/>
      <c r="F550" s="28"/>
      <c r="G550" s="28"/>
    </row>
    <row r="551" spans="1:7" ht="12.75" x14ac:dyDescent="0.2">
      <c r="A551" s="28"/>
      <c r="B551" s="28"/>
      <c r="C551" s="28"/>
      <c r="D551" s="28"/>
      <c r="E551" s="28"/>
      <c r="F551" s="28"/>
      <c r="G551" s="28"/>
    </row>
    <row r="552" spans="1:7" ht="12.75" x14ac:dyDescent="0.2">
      <c r="A552" s="28"/>
      <c r="B552" s="28"/>
      <c r="C552" s="28"/>
      <c r="D552" s="28"/>
      <c r="E552" s="28"/>
      <c r="F552" s="28"/>
      <c r="G552" s="28"/>
    </row>
    <row r="553" spans="1:7" ht="12.75" x14ac:dyDescent="0.2">
      <c r="A553" s="28"/>
      <c r="B553" s="28"/>
      <c r="C553" s="28"/>
      <c r="D553" s="28"/>
      <c r="E553" s="28"/>
      <c r="F553" s="28"/>
      <c r="G553" s="28"/>
    </row>
    <row r="554" spans="1:7" ht="12.75" x14ac:dyDescent="0.2">
      <c r="A554" s="28"/>
      <c r="B554" s="28"/>
      <c r="C554" s="28"/>
      <c r="D554" s="28"/>
      <c r="E554" s="28"/>
      <c r="F554" s="28"/>
      <c r="G554" s="28"/>
    </row>
    <row r="555" spans="1:7" ht="12.75" x14ac:dyDescent="0.2">
      <c r="A555" s="28"/>
      <c r="B555" s="28"/>
      <c r="C555" s="28"/>
      <c r="D555" s="28"/>
      <c r="E555" s="28"/>
      <c r="F555" s="28"/>
      <c r="G555" s="28"/>
    </row>
    <row r="556" spans="1:7" ht="12.75" x14ac:dyDescent="0.2">
      <c r="A556" s="28"/>
      <c r="B556" s="28"/>
      <c r="C556" s="28"/>
      <c r="D556" s="28"/>
      <c r="E556" s="28"/>
      <c r="F556" s="28"/>
      <c r="G556" s="28"/>
    </row>
    <row r="557" spans="1:7" ht="12.75" x14ac:dyDescent="0.2">
      <c r="A557" s="28"/>
      <c r="B557" s="28"/>
      <c r="C557" s="28"/>
      <c r="D557" s="28"/>
      <c r="E557" s="28"/>
      <c r="F557" s="28"/>
      <c r="G557" s="28"/>
    </row>
    <row r="558" spans="1:7" ht="12.75" x14ac:dyDescent="0.2">
      <c r="A558" s="28"/>
      <c r="B558" s="28"/>
      <c r="C558" s="28"/>
      <c r="D558" s="28"/>
      <c r="E558" s="28"/>
      <c r="F558" s="28"/>
      <c r="G558" s="28"/>
    </row>
    <row r="559" spans="1:7" ht="12.75" x14ac:dyDescent="0.2">
      <c r="A559" s="28"/>
      <c r="B559" s="28"/>
      <c r="C559" s="28"/>
      <c r="D559" s="28"/>
      <c r="E559" s="28"/>
      <c r="F559" s="28"/>
      <c r="G559" s="28"/>
    </row>
    <row r="560" spans="1:7" ht="12.75" x14ac:dyDescent="0.2">
      <c r="A560" s="28"/>
      <c r="B560" s="28"/>
      <c r="C560" s="28"/>
      <c r="D560" s="28"/>
      <c r="E560" s="28"/>
      <c r="F560" s="28"/>
      <c r="G560" s="28"/>
    </row>
    <row r="561" spans="1:7" ht="12.75" x14ac:dyDescent="0.2">
      <c r="A561" s="28"/>
      <c r="B561" s="28"/>
      <c r="C561" s="28"/>
      <c r="D561" s="28"/>
      <c r="E561" s="28"/>
      <c r="F561" s="28"/>
      <c r="G561" s="28"/>
    </row>
    <row r="562" spans="1:7" ht="12.75" x14ac:dyDescent="0.2">
      <c r="A562" s="28"/>
      <c r="B562" s="28"/>
      <c r="C562" s="28"/>
      <c r="D562" s="28"/>
      <c r="E562" s="28"/>
      <c r="F562" s="28"/>
      <c r="G562" s="28"/>
    </row>
    <row r="563" spans="1:7" ht="12.75" x14ac:dyDescent="0.2">
      <c r="A563" s="28"/>
      <c r="B563" s="28"/>
      <c r="C563" s="28"/>
      <c r="D563" s="28"/>
      <c r="E563" s="28"/>
      <c r="F563" s="28"/>
      <c r="G563" s="28"/>
    </row>
    <row r="564" spans="1:7" ht="12.75" x14ac:dyDescent="0.2">
      <c r="A564" s="28"/>
      <c r="B564" s="28"/>
      <c r="C564" s="28"/>
      <c r="D564" s="28"/>
      <c r="E564" s="28"/>
      <c r="F564" s="28"/>
      <c r="G564" s="28"/>
    </row>
    <row r="565" spans="1:7" ht="12.75" x14ac:dyDescent="0.2">
      <c r="A565" s="28"/>
      <c r="B565" s="28"/>
      <c r="C565" s="28"/>
      <c r="D565" s="28"/>
      <c r="E565" s="28"/>
      <c r="F565" s="28"/>
      <c r="G565" s="28"/>
    </row>
    <row r="566" spans="1:7" ht="12.75" x14ac:dyDescent="0.2">
      <c r="A566" s="28"/>
      <c r="B566" s="28"/>
      <c r="C566" s="28"/>
      <c r="D566" s="28"/>
      <c r="E566" s="28"/>
      <c r="F566" s="28"/>
      <c r="G566" s="28"/>
    </row>
    <row r="567" spans="1:7" ht="12.75" x14ac:dyDescent="0.2">
      <c r="A567" s="28"/>
      <c r="B567" s="28"/>
      <c r="C567" s="28"/>
      <c r="D567" s="28"/>
      <c r="E567" s="28"/>
      <c r="F567" s="28"/>
      <c r="G567" s="28"/>
    </row>
    <row r="568" spans="1:7" ht="12.75" x14ac:dyDescent="0.2">
      <c r="A568" s="28"/>
      <c r="B568" s="28"/>
      <c r="C568" s="28"/>
      <c r="D568" s="28"/>
      <c r="E568" s="28"/>
      <c r="F568" s="28"/>
      <c r="G568" s="28"/>
    </row>
    <row r="569" spans="1:7" ht="12.75" x14ac:dyDescent="0.2">
      <c r="A569" s="28"/>
      <c r="B569" s="28"/>
      <c r="C569" s="28"/>
      <c r="D569" s="28"/>
      <c r="E569" s="28"/>
      <c r="F569" s="28"/>
      <c r="G569" s="28"/>
    </row>
    <row r="570" spans="1:7" ht="12.75" x14ac:dyDescent="0.2">
      <c r="A570" s="28"/>
      <c r="B570" s="28"/>
      <c r="C570" s="28"/>
      <c r="D570" s="28"/>
      <c r="E570" s="28"/>
      <c r="F570" s="28"/>
      <c r="G570" s="28"/>
    </row>
    <row r="571" spans="1:7" ht="12.75" x14ac:dyDescent="0.2">
      <c r="A571" s="28"/>
      <c r="B571" s="28"/>
      <c r="C571" s="28"/>
      <c r="D571" s="28"/>
      <c r="E571" s="28"/>
      <c r="F571" s="28"/>
      <c r="G571" s="28"/>
    </row>
    <row r="572" spans="1:7" ht="12.75" x14ac:dyDescent="0.2">
      <c r="A572" s="28"/>
      <c r="B572" s="28"/>
      <c r="C572" s="28"/>
      <c r="D572" s="28"/>
      <c r="E572" s="28"/>
      <c r="F572" s="28"/>
      <c r="G572" s="28"/>
    </row>
    <row r="573" spans="1:7" ht="12.75" x14ac:dyDescent="0.2">
      <c r="A573" s="28"/>
      <c r="B573" s="28"/>
      <c r="C573" s="28"/>
      <c r="D573" s="28"/>
      <c r="E573" s="28"/>
      <c r="F573" s="28"/>
      <c r="G573" s="28"/>
    </row>
    <row r="574" spans="1:7" ht="12.75" x14ac:dyDescent="0.2">
      <c r="A574" s="28"/>
      <c r="B574" s="28"/>
      <c r="C574" s="28"/>
      <c r="D574" s="28"/>
      <c r="E574" s="28"/>
      <c r="F574" s="28"/>
      <c r="G574" s="28"/>
    </row>
    <row r="575" spans="1:7" ht="12.75" x14ac:dyDescent="0.2">
      <c r="A575" s="28"/>
      <c r="B575" s="28"/>
      <c r="C575" s="28"/>
      <c r="D575" s="28"/>
      <c r="E575" s="28"/>
      <c r="F575" s="28"/>
      <c r="G575" s="28"/>
    </row>
    <row r="576" spans="1:7" ht="12.75" x14ac:dyDescent="0.2">
      <c r="A576" s="28"/>
      <c r="B576" s="28"/>
      <c r="C576" s="28"/>
      <c r="D576" s="28"/>
      <c r="E576" s="28"/>
      <c r="F576" s="28"/>
      <c r="G576" s="28"/>
    </row>
    <row r="577" spans="1:7" ht="12.75" x14ac:dyDescent="0.2">
      <c r="A577" s="28"/>
      <c r="B577" s="28"/>
      <c r="C577" s="28"/>
      <c r="D577" s="28"/>
      <c r="E577" s="28"/>
      <c r="F577" s="28"/>
      <c r="G577" s="28"/>
    </row>
    <row r="578" spans="1:7" ht="12.75" x14ac:dyDescent="0.2">
      <c r="A578" s="28"/>
      <c r="B578" s="28"/>
      <c r="C578" s="28"/>
      <c r="D578" s="28"/>
      <c r="E578" s="28"/>
      <c r="F578" s="28"/>
      <c r="G578" s="28"/>
    </row>
    <row r="579" spans="1:7" ht="12.75" x14ac:dyDescent="0.2">
      <c r="A579" s="28"/>
      <c r="B579" s="28"/>
      <c r="C579" s="28"/>
      <c r="D579" s="28"/>
      <c r="E579" s="28"/>
      <c r="F579" s="28"/>
      <c r="G579" s="28"/>
    </row>
    <row r="580" spans="1:7" ht="12.75" x14ac:dyDescent="0.2">
      <c r="A580" s="28"/>
      <c r="B580" s="28"/>
      <c r="C580" s="28"/>
      <c r="D580" s="28"/>
      <c r="E580" s="28"/>
      <c r="F580" s="28"/>
      <c r="G580" s="28"/>
    </row>
    <row r="581" spans="1:7" ht="12.75" x14ac:dyDescent="0.2">
      <c r="A581" s="28"/>
      <c r="B581" s="28"/>
      <c r="C581" s="28"/>
      <c r="D581" s="28"/>
      <c r="E581" s="28"/>
      <c r="F581" s="28"/>
      <c r="G581" s="28"/>
    </row>
    <row r="582" spans="1:7" ht="12.75" x14ac:dyDescent="0.2">
      <c r="A582" s="28"/>
      <c r="B582" s="28"/>
      <c r="C582" s="28"/>
      <c r="D582" s="28"/>
      <c r="E582" s="28"/>
      <c r="F582" s="28"/>
      <c r="G582" s="28"/>
    </row>
    <row r="583" spans="1:7" ht="12.75" x14ac:dyDescent="0.2">
      <c r="A583" s="28"/>
      <c r="B583" s="28"/>
      <c r="C583" s="28"/>
      <c r="D583" s="28"/>
      <c r="E583" s="28"/>
      <c r="F583" s="28"/>
      <c r="G583" s="28"/>
    </row>
    <row r="584" spans="1:7" ht="12.75" x14ac:dyDescent="0.2">
      <c r="A584" s="28"/>
      <c r="B584" s="28"/>
      <c r="C584" s="28"/>
      <c r="D584" s="28"/>
      <c r="E584" s="28"/>
      <c r="F584" s="28"/>
      <c r="G584" s="28"/>
    </row>
    <row r="585" spans="1:7" ht="12.75" x14ac:dyDescent="0.2">
      <c r="A585" s="28"/>
      <c r="B585" s="28"/>
      <c r="C585" s="28"/>
      <c r="D585" s="28"/>
      <c r="E585" s="28"/>
      <c r="F585" s="28"/>
      <c r="G585" s="28"/>
    </row>
    <row r="586" spans="1:7" ht="12.75" x14ac:dyDescent="0.2">
      <c r="A586" s="28"/>
      <c r="B586" s="28"/>
      <c r="C586" s="28"/>
      <c r="D586" s="28"/>
      <c r="E586" s="28"/>
      <c r="F586" s="28"/>
      <c r="G586" s="28"/>
    </row>
    <row r="587" spans="1:7" ht="12.75" x14ac:dyDescent="0.2">
      <c r="A587" s="28"/>
      <c r="B587" s="28"/>
      <c r="C587" s="28"/>
      <c r="D587" s="28"/>
      <c r="E587" s="28"/>
      <c r="F587" s="28"/>
      <c r="G587" s="28"/>
    </row>
    <row r="588" spans="1:7" ht="12.75" x14ac:dyDescent="0.2">
      <c r="A588" s="28"/>
      <c r="B588" s="28"/>
      <c r="C588" s="28"/>
      <c r="D588" s="28"/>
      <c r="E588" s="28"/>
      <c r="F588" s="28"/>
      <c r="G588" s="28"/>
    </row>
    <row r="589" spans="1:7" ht="12.75" x14ac:dyDescent="0.2">
      <c r="A589" s="28"/>
      <c r="B589" s="28"/>
      <c r="C589" s="28"/>
      <c r="D589" s="28"/>
      <c r="E589" s="28"/>
      <c r="F589" s="28"/>
      <c r="G589" s="28"/>
    </row>
    <row r="590" spans="1:7" ht="12.75" x14ac:dyDescent="0.2">
      <c r="A590" s="28"/>
      <c r="B590" s="28"/>
      <c r="C590" s="28"/>
      <c r="D590" s="28"/>
      <c r="E590" s="28"/>
      <c r="F590" s="28"/>
      <c r="G590" s="28"/>
    </row>
    <row r="591" spans="1:7" ht="12.75" x14ac:dyDescent="0.2">
      <c r="A591" s="28"/>
      <c r="B591" s="28"/>
      <c r="C591" s="28"/>
      <c r="D591" s="28"/>
      <c r="E591" s="28"/>
      <c r="F591" s="28"/>
      <c r="G591" s="28"/>
    </row>
    <row r="592" spans="1:7" ht="12.75" x14ac:dyDescent="0.2">
      <c r="A592" s="28"/>
      <c r="B592" s="28"/>
      <c r="C592" s="28"/>
      <c r="D592" s="28"/>
      <c r="E592" s="28"/>
      <c r="F592" s="28"/>
      <c r="G592" s="28"/>
    </row>
    <row r="593" spans="1:7" ht="12.75" x14ac:dyDescent="0.2">
      <c r="A593" s="28"/>
      <c r="B593" s="28"/>
      <c r="C593" s="28"/>
      <c r="D593" s="28"/>
      <c r="E593" s="28"/>
      <c r="F593" s="28"/>
      <c r="G593" s="28"/>
    </row>
    <row r="594" spans="1:7" ht="12.75" x14ac:dyDescent="0.2">
      <c r="A594" s="28"/>
      <c r="B594" s="28"/>
      <c r="C594" s="28"/>
      <c r="D594" s="28"/>
      <c r="E594" s="28"/>
      <c r="F594" s="28"/>
      <c r="G594" s="28"/>
    </row>
    <row r="595" spans="1:7" ht="12.75" x14ac:dyDescent="0.2">
      <c r="A595" s="28"/>
      <c r="B595" s="28"/>
      <c r="C595" s="28"/>
      <c r="D595" s="28"/>
      <c r="E595" s="28"/>
      <c r="F595" s="28"/>
      <c r="G595" s="28"/>
    </row>
    <row r="596" spans="1:7" ht="12.75" x14ac:dyDescent="0.2">
      <c r="A596" s="28"/>
      <c r="B596" s="28"/>
      <c r="C596" s="28"/>
      <c r="D596" s="28"/>
      <c r="E596" s="28"/>
      <c r="F596" s="28"/>
      <c r="G596" s="28"/>
    </row>
    <row r="597" spans="1:7" ht="12.75" x14ac:dyDescent="0.2">
      <c r="A597" s="28"/>
      <c r="B597" s="28"/>
      <c r="C597" s="28"/>
      <c r="D597" s="28"/>
      <c r="E597" s="28"/>
      <c r="F597" s="28"/>
      <c r="G597" s="28"/>
    </row>
    <row r="598" spans="1:7" ht="12.75" x14ac:dyDescent="0.2">
      <c r="A598" s="28"/>
      <c r="B598" s="28"/>
      <c r="C598" s="28"/>
      <c r="D598" s="28"/>
      <c r="E598" s="28"/>
      <c r="F598" s="28"/>
      <c r="G598" s="28"/>
    </row>
    <row r="599" spans="1:7" ht="12.75" x14ac:dyDescent="0.2">
      <c r="A599" s="28"/>
      <c r="B599" s="28"/>
      <c r="C599" s="28"/>
      <c r="D599" s="28"/>
      <c r="E599" s="28"/>
      <c r="F599" s="28"/>
      <c r="G599" s="28"/>
    </row>
    <row r="600" spans="1:7" ht="12.75" x14ac:dyDescent="0.2">
      <c r="A600" s="28"/>
      <c r="B600" s="28"/>
      <c r="C600" s="28"/>
      <c r="D600" s="28"/>
      <c r="E600" s="28"/>
      <c r="F600" s="28"/>
      <c r="G600" s="28"/>
    </row>
    <row r="601" spans="1:7" ht="12.75" x14ac:dyDescent="0.2">
      <c r="A601" s="28"/>
      <c r="B601" s="28"/>
      <c r="C601" s="28"/>
      <c r="D601" s="28"/>
      <c r="E601" s="28"/>
      <c r="F601" s="28"/>
      <c r="G601" s="28"/>
    </row>
    <row r="602" spans="1:7" ht="12.75" x14ac:dyDescent="0.2">
      <c r="A602" s="28"/>
      <c r="B602" s="28"/>
      <c r="C602" s="28"/>
      <c r="D602" s="28"/>
      <c r="E602" s="28"/>
      <c r="F602" s="28"/>
      <c r="G602" s="28"/>
    </row>
    <row r="603" spans="1:7" ht="12.75" x14ac:dyDescent="0.2">
      <c r="A603" s="28"/>
      <c r="B603" s="28"/>
      <c r="C603" s="28"/>
      <c r="D603" s="28"/>
      <c r="E603" s="28"/>
      <c r="F603" s="28"/>
      <c r="G603" s="28"/>
    </row>
    <row r="604" spans="1:7" ht="12.75" x14ac:dyDescent="0.2">
      <c r="A604" s="28"/>
      <c r="B604" s="28"/>
      <c r="C604" s="28"/>
      <c r="D604" s="28"/>
      <c r="E604" s="28"/>
      <c r="F604" s="28"/>
      <c r="G604" s="28"/>
    </row>
    <row r="605" spans="1:7" ht="12.75" x14ac:dyDescent="0.2">
      <c r="A605" s="28"/>
      <c r="B605" s="28"/>
      <c r="C605" s="28"/>
      <c r="D605" s="28"/>
      <c r="E605" s="28"/>
      <c r="F605" s="28"/>
      <c r="G605" s="28"/>
    </row>
    <row r="606" spans="1:7" ht="12.75" x14ac:dyDescent="0.2">
      <c r="A606" s="28"/>
      <c r="B606" s="28"/>
      <c r="C606" s="28"/>
      <c r="D606" s="28"/>
      <c r="E606" s="28"/>
      <c r="F606" s="28"/>
      <c r="G606" s="28"/>
    </row>
    <row r="607" spans="1:7" ht="12.75" x14ac:dyDescent="0.2">
      <c r="A607" s="28"/>
      <c r="B607" s="28"/>
      <c r="C607" s="28"/>
      <c r="D607" s="28"/>
      <c r="E607" s="28"/>
      <c r="F607" s="28"/>
      <c r="G607" s="28"/>
    </row>
    <row r="608" spans="1:7" ht="12.75" x14ac:dyDescent="0.2">
      <c r="A608" s="28"/>
      <c r="B608" s="28"/>
      <c r="C608" s="28"/>
      <c r="D608" s="28"/>
      <c r="E608" s="28"/>
      <c r="F608" s="28"/>
      <c r="G608" s="28"/>
    </row>
    <row r="609" spans="1:7" ht="12.75" x14ac:dyDescent="0.2">
      <c r="A609" s="28"/>
      <c r="B609" s="28"/>
      <c r="C609" s="28"/>
      <c r="D609" s="28"/>
      <c r="E609" s="28"/>
      <c r="F609" s="28"/>
      <c r="G609" s="28"/>
    </row>
    <row r="610" spans="1:7" ht="12.75" x14ac:dyDescent="0.2">
      <c r="A610" s="28"/>
      <c r="B610" s="28"/>
      <c r="C610" s="28"/>
      <c r="D610" s="28"/>
      <c r="E610" s="28"/>
      <c r="F610" s="28"/>
      <c r="G610" s="28"/>
    </row>
    <row r="611" spans="1:7" ht="12.75" x14ac:dyDescent="0.2">
      <c r="A611" s="28"/>
      <c r="B611" s="28"/>
      <c r="C611" s="28"/>
      <c r="D611" s="28"/>
      <c r="E611" s="28"/>
      <c r="F611" s="28"/>
      <c r="G611" s="28"/>
    </row>
    <row r="612" spans="1:7" ht="12.75" x14ac:dyDescent="0.2">
      <c r="A612" s="28"/>
      <c r="B612" s="28"/>
      <c r="C612" s="28"/>
      <c r="D612" s="28"/>
      <c r="E612" s="28"/>
      <c r="F612" s="28"/>
      <c r="G612" s="28"/>
    </row>
    <row r="613" spans="1:7" ht="12.75" x14ac:dyDescent="0.2">
      <c r="A613" s="28"/>
      <c r="B613" s="28"/>
      <c r="C613" s="28"/>
      <c r="D613" s="28"/>
      <c r="E613" s="28"/>
      <c r="F613" s="28"/>
      <c r="G613" s="28"/>
    </row>
    <row r="614" spans="1:7" ht="12.75" x14ac:dyDescent="0.2">
      <c r="A614" s="28"/>
      <c r="B614" s="28"/>
      <c r="C614" s="28"/>
      <c r="D614" s="28"/>
      <c r="E614" s="28"/>
      <c r="F614" s="28"/>
      <c r="G614" s="28"/>
    </row>
    <row r="615" spans="1:7" ht="12.75" x14ac:dyDescent="0.2">
      <c r="A615" s="28"/>
      <c r="B615" s="28"/>
      <c r="C615" s="28"/>
      <c r="D615" s="28"/>
      <c r="E615" s="28"/>
      <c r="F615" s="28"/>
      <c r="G615" s="28"/>
    </row>
    <row r="616" spans="1:7" ht="12.75" x14ac:dyDescent="0.2">
      <c r="A616" s="28"/>
      <c r="B616" s="28"/>
      <c r="C616" s="28"/>
      <c r="D616" s="28"/>
      <c r="E616" s="28"/>
      <c r="F616" s="28"/>
      <c r="G616" s="28"/>
    </row>
    <row r="617" spans="1:7" ht="12.75" x14ac:dyDescent="0.2">
      <c r="A617" s="28"/>
      <c r="B617" s="28"/>
      <c r="C617" s="28"/>
      <c r="D617" s="28"/>
      <c r="E617" s="28"/>
      <c r="F617" s="28"/>
      <c r="G617" s="28"/>
    </row>
    <row r="618" spans="1:7" ht="12.75" x14ac:dyDescent="0.2">
      <c r="A618" s="28"/>
      <c r="B618" s="28"/>
      <c r="C618" s="28"/>
      <c r="D618" s="28"/>
      <c r="E618" s="28"/>
      <c r="F618" s="28"/>
      <c r="G618" s="28"/>
    </row>
    <row r="619" spans="1:7" ht="12.75" x14ac:dyDescent="0.2">
      <c r="A619" s="28"/>
      <c r="B619" s="28"/>
      <c r="C619" s="28"/>
      <c r="D619" s="28"/>
      <c r="E619" s="28"/>
      <c r="F619" s="28"/>
      <c r="G619" s="28"/>
    </row>
    <row r="620" spans="1:7" ht="12.75" x14ac:dyDescent="0.2">
      <c r="A620" s="28"/>
      <c r="B620" s="28"/>
      <c r="C620" s="28"/>
      <c r="D620" s="28"/>
      <c r="E620" s="28"/>
      <c r="F620" s="28"/>
      <c r="G620" s="28"/>
    </row>
    <row r="621" spans="1:7" ht="12.75" x14ac:dyDescent="0.2">
      <c r="A621" s="28"/>
      <c r="B621" s="28"/>
      <c r="C621" s="28"/>
      <c r="D621" s="28"/>
      <c r="E621" s="28"/>
      <c r="F621" s="28"/>
      <c r="G621" s="28"/>
    </row>
    <row r="622" spans="1:7" ht="12.75" x14ac:dyDescent="0.2">
      <c r="A622" s="28"/>
      <c r="B622" s="28"/>
      <c r="C622" s="28"/>
      <c r="D622" s="28"/>
      <c r="E622" s="28"/>
      <c r="F622" s="28"/>
      <c r="G622" s="28"/>
    </row>
    <row r="623" spans="1:7" ht="12.75" x14ac:dyDescent="0.2">
      <c r="A623" s="28"/>
      <c r="B623" s="28"/>
      <c r="C623" s="28"/>
      <c r="D623" s="28"/>
      <c r="E623" s="28"/>
      <c r="F623" s="28"/>
      <c r="G623" s="28"/>
    </row>
    <row r="624" spans="1:7" ht="12.75" x14ac:dyDescent="0.2">
      <c r="A624" s="28"/>
      <c r="B624" s="28"/>
      <c r="C624" s="28"/>
      <c r="D624" s="28"/>
      <c r="E624" s="28"/>
      <c r="F624" s="28"/>
      <c r="G624" s="28"/>
    </row>
    <row r="625" spans="1:7" ht="12.75" x14ac:dyDescent="0.2">
      <c r="A625" s="28"/>
      <c r="B625" s="28"/>
      <c r="C625" s="28"/>
      <c r="D625" s="28"/>
      <c r="E625" s="28"/>
      <c r="F625" s="28"/>
      <c r="G625" s="28"/>
    </row>
    <row r="626" spans="1:7" ht="12.75" x14ac:dyDescent="0.2">
      <c r="A626" s="28"/>
      <c r="B626" s="28"/>
      <c r="C626" s="28"/>
      <c r="D626" s="28"/>
      <c r="E626" s="28"/>
      <c r="F626" s="28"/>
      <c r="G626" s="28"/>
    </row>
    <row r="627" spans="1:7" ht="12.75" x14ac:dyDescent="0.2">
      <c r="A627" s="28"/>
      <c r="B627" s="28"/>
      <c r="C627" s="28"/>
      <c r="D627" s="28"/>
      <c r="E627" s="28"/>
      <c r="F627" s="28"/>
      <c r="G627" s="28"/>
    </row>
    <row r="628" spans="1:7" ht="12.75" x14ac:dyDescent="0.2">
      <c r="A628" s="28"/>
      <c r="B628" s="28"/>
      <c r="C628" s="28"/>
      <c r="D628" s="28"/>
      <c r="E628" s="28"/>
      <c r="F628" s="28"/>
      <c r="G628" s="28"/>
    </row>
    <row r="629" spans="1:7" ht="12.75" x14ac:dyDescent="0.2">
      <c r="A629" s="28"/>
      <c r="B629" s="28"/>
      <c r="C629" s="28"/>
      <c r="D629" s="28"/>
      <c r="E629" s="28"/>
      <c r="F629" s="28"/>
      <c r="G629" s="28"/>
    </row>
    <row r="630" spans="1:7" ht="12.75" x14ac:dyDescent="0.2">
      <c r="A630" s="28"/>
      <c r="B630" s="28"/>
      <c r="C630" s="28"/>
      <c r="D630" s="28"/>
      <c r="E630" s="28"/>
      <c r="F630" s="28"/>
      <c r="G630" s="28"/>
    </row>
    <row r="631" spans="1:7" ht="12.75" x14ac:dyDescent="0.2">
      <c r="A631" s="28"/>
      <c r="B631" s="28"/>
      <c r="C631" s="28"/>
      <c r="D631" s="28"/>
      <c r="E631" s="28"/>
      <c r="F631" s="28"/>
      <c r="G631" s="28"/>
    </row>
    <row r="632" spans="1:7" ht="12.75" x14ac:dyDescent="0.2">
      <c r="A632" s="28"/>
      <c r="B632" s="28"/>
      <c r="C632" s="28"/>
      <c r="D632" s="28"/>
      <c r="E632" s="28"/>
      <c r="F632" s="28"/>
      <c r="G632" s="28"/>
    </row>
    <row r="633" spans="1:7" ht="12.75" x14ac:dyDescent="0.2">
      <c r="A633" s="28"/>
      <c r="B633" s="28"/>
      <c r="C633" s="28"/>
      <c r="D633" s="28"/>
      <c r="E633" s="28"/>
      <c r="F633" s="28"/>
      <c r="G633" s="28"/>
    </row>
    <row r="634" spans="1:7" ht="12.75" x14ac:dyDescent="0.2">
      <c r="A634" s="28"/>
      <c r="B634" s="28"/>
      <c r="C634" s="28"/>
      <c r="D634" s="28"/>
      <c r="E634" s="28"/>
      <c r="F634" s="28"/>
      <c r="G634" s="28"/>
    </row>
    <row r="635" spans="1:7" ht="12.75" x14ac:dyDescent="0.2">
      <c r="A635" s="28"/>
      <c r="B635" s="28"/>
      <c r="C635" s="28"/>
      <c r="D635" s="28"/>
      <c r="E635" s="28"/>
      <c r="F635" s="28"/>
      <c r="G635" s="28"/>
    </row>
    <row r="636" spans="1:7" ht="12.75" x14ac:dyDescent="0.2">
      <c r="A636" s="28"/>
      <c r="B636" s="28"/>
      <c r="C636" s="28"/>
      <c r="D636" s="28"/>
      <c r="E636" s="28"/>
      <c r="F636" s="28"/>
      <c r="G636" s="28"/>
    </row>
    <row r="637" spans="1:7" ht="12.75" x14ac:dyDescent="0.2">
      <c r="A637" s="28"/>
      <c r="B637" s="28"/>
      <c r="C637" s="28"/>
      <c r="D637" s="28"/>
      <c r="E637" s="28"/>
      <c r="F637" s="28"/>
      <c r="G637" s="28"/>
    </row>
    <row r="638" spans="1:7" ht="12.75" x14ac:dyDescent="0.2">
      <c r="A638" s="28"/>
      <c r="B638" s="28"/>
      <c r="C638" s="28"/>
      <c r="D638" s="28"/>
      <c r="E638" s="28"/>
      <c r="F638" s="28"/>
      <c r="G638" s="28"/>
    </row>
    <row r="639" spans="1:7" ht="12.75" x14ac:dyDescent="0.2">
      <c r="A639" s="28"/>
      <c r="B639" s="28"/>
      <c r="C639" s="28"/>
      <c r="D639" s="28"/>
      <c r="E639" s="28"/>
      <c r="F639" s="28"/>
      <c r="G639" s="28"/>
    </row>
    <row r="640" spans="1:7" ht="12.75" x14ac:dyDescent="0.2">
      <c r="A640" s="28"/>
      <c r="B640" s="28"/>
      <c r="C640" s="28"/>
      <c r="D640" s="28"/>
      <c r="E640" s="28"/>
      <c r="F640" s="28"/>
      <c r="G640" s="28"/>
    </row>
    <row r="641" spans="1:7" ht="12.75" x14ac:dyDescent="0.2">
      <c r="A641" s="28"/>
      <c r="B641" s="28"/>
      <c r="C641" s="28"/>
      <c r="D641" s="28"/>
      <c r="E641" s="28"/>
      <c r="F641" s="28"/>
      <c r="G641" s="28"/>
    </row>
    <row r="642" spans="1:7" ht="12.75" x14ac:dyDescent="0.2">
      <c r="A642" s="28"/>
      <c r="B642" s="28"/>
      <c r="C642" s="28"/>
      <c r="D642" s="28"/>
      <c r="E642" s="28"/>
      <c r="F642" s="28"/>
      <c r="G642" s="28"/>
    </row>
    <row r="643" spans="1:7" ht="12.75" x14ac:dyDescent="0.2">
      <c r="A643" s="28"/>
      <c r="B643" s="28"/>
      <c r="C643" s="28"/>
      <c r="D643" s="28"/>
      <c r="E643" s="28"/>
      <c r="F643" s="28"/>
      <c r="G643" s="28"/>
    </row>
    <row r="644" spans="1:7" ht="12.75" x14ac:dyDescent="0.2">
      <c r="A644" s="28"/>
      <c r="B644" s="28"/>
      <c r="C644" s="28"/>
      <c r="D644" s="28"/>
      <c r="E644" s="28"/>
      <c r="F644" s="28"/>
      <c r="G644" s="28"/>
    </row>
    <row r="645" spans="1:7" ht="12.75" x14ac:dyDescent="0.2">
      <c r="A645" s="28"/>
      <c r="B645" s="28"/>
      <c r="C645" s="28"/>
      <c r="D645" s="28"/>
      <c r="E645" s="28"/>
      <c r="F645" s="28"/>
      <c r="G645" s="28"/>
    </row>
    <row r="646" spans="1:7" ht="12.75" x14ac:dyDescent="0.2">
      <c r="A646" s="28"/>
      <c r="B646" s="28"/>
      <c r="C646" s="28"/>
      <c r="D646" s="28"/>
      <c r="E646" s="28"/>
      <c r="F646" s="28"/>
      <c r="G646" s="28"/>
    </row>
    <row r="647" spans="1:7" ht="12.75" x14ac:dyDescent="0.2">
      <c r="A647" s="28"/>
      <c r="B647" s="28"/>
      <c r="C647" s="28"/>
      <c r="D647" s="28"/>
      <c r="E647" s="28"/>
      <c r="F647" s="28"/>
      <c r="G647" s="28"/>
    </row>
    <row r="648" spans="1:7" ht="12.75" x14ac:dyDescent="0.2">
      <c r="A648" s="28"/>
      <c r="B648" s="28"/>
      <c r="C648" s="28"/>
      <c r="D648" s="28"/>
      <c r="E648" s="28"/>
      <c r="F648" s="28"/>
      <c r="G648" s="28"/>
    </row>
    <row r="649" spans="1:7" ht="12.75" x14ac:dyDescent="0.2">
      <c r="A649" s="28"/>
      <c r="B649" s="28"/>
      <c r="C649" s="28"/>
      <c r="D649" s="28"/>
      <c r="E649" s="28"/>
      <c r="F649" s="28"/>
      <c r="G649" s="28"/>
    </row>
    <row r="650" spans="1:7" ht="12.75" x14ac:dyDescent="0.2">
      <c r="A650" s="28"/>
      <c r="B650" s="28"/>
      <c r="C650" s="28"/>
      <c r="D650" s="28"/>
      <c r="E650" s="28"/>
      <c r="F650" s="28"/>
      <c r="G650" s="28"/>
    </row>
    <row r="651" spans="1:7" ht="12.75" x14ac:dyDescent="0.2">
      <c r="A651" s="28"/>
      <c r="B651" s="28"/>
      <c r="C651" s="28"/>
      <c r="D651" s="28"/>
      <c r="E651" s="28"/>
      <c r="F651" s="28"/>
      <c r="G651" s="28"/>
    </row>
    <row r="652" spans="1:7" ht="12.75" x14ac:dyDescent="0.2">
      <c r="A652" s="28"/>
      <c r="B652" s="28"/>
      <c r="C652" s="28"/>
      <c r="D652" s="28"/>
      <c r="E652" s="28"/>
      <c r="F652" s="28"/>
      <c r="G652" s="28"/>
    </row>
    <row r="653" spans="1:7" ht="12.75" x14ac:dyDescent="0.2">
      <c r="A653" s="28"/>
      <c r="B653" s="28"/>
      <c r="C653" s="28"/>
      <c r="D653" s="28"/>
      <c r="E653" s="28"/>
      <c r="F653" s="28"/>
      <c r="G653" s="28"/>
    </row>
    <row r="654" spans="1:7" ht="12.75" x14ac:dyDescent="0.2">
      <c r="A654" s="28"/>
      <c r="B654" s="28"/>
      <c r="C654" s="28"/>
      <c r="D654" s="28"/>
      <c r="E654" s="28"/>
      <c r="F654" s="28"/>
      <c r="G654" s="28"/>
    </row>
    <row r="655" spans="1:7" ht="12.75" x14ac:dyDescent="0.2">
      <c r="A655" s="28"/>
      <c r="B655" s="28"/>
      <c r="C655" s="28"/>
      <c r="D655" s="28"/>
      <c r="E655" s="28"/>
      <c r="F655" s="28"/>
      <c r="G655" s="28"/>
    </row>
    <row r="656" spans="1:7" ht="12.75" x14ac:dyDescent="0.2">
      <c r="A656" s="28"/>
      <c r="B656" s="28"/>
      <c r="C656" s="28"/>
      <c r="D656" s="28"/>
      <c r="E656" s="28"/>
      <c r="F656" s="28"/>
      <c r="G656" s="28"/>
    </row>
    <row r="657" spans="1:7" ht="12.75" x14ac:dyDescent="0.2">
      <c r="A657" s="28"/>
      <c r="B657" s="28"/>
      <c r="C657" s="28"/>
      <c r="D657" s="28"/>
      <c r="E657" s="28"/>
      <c r="F657" s="28"/>
      <c r="G657" s="28"/>
    </row>
    <row r="658" spans="1:7" ht="12.75" x14ac:dyDescent="0.2">
      <c r="A658" s="28"/>
      <c r="B658" s="28"/>
      <c r="C658" s="28"/>
      <c r="D658" s="28"/>
      <c r="E658" s="28"/>
      <c r="F658" s="28"/>
      <c r="G658" s="28"/>
    </row>
    <row r="659" spans="1:7" ht="12.75" x14ac:dyDescent="0.2">
      <c r="A659" s="28"/>
      <c r="B659" s="28"/>
      <c r="C659" s="28"/>
      <c r="D659" s="28"/>
      <c r="E659" s="28"/>
      <c r="F659" s="28"/>
      <c r="G659" s="28"/>
    </row>
    <row r="660" spans="1:7" ht="12.75" x14ac:dyDescent="0.2">
      <c r="A660" s="28"/>
      <c r="B660" s="28"/>
      <c r="C660" s="28"/>
      <c r="D660" s="28"/>
      <c r="E660" s="28"/>
      <c r="F660" s="28"/>
      <c r="G660" s="28"/>
    </row>
    <row r="661" spans="1:7" ht="12.75" x14ac:dyDescent="0.2">
      <c r="A661" s="28"/>
      <c r="B661" s="28"/>
      <c r="C661" s="28"/>
      <c r="D661" s="28"/>
      <c r="E661" s="28"/>
      <c r="F661" s="28"/>
      <c r="G661" s="28"/>
    </row>
    <row r="662" spans="1:7" ht="12.75" x14ac:dyDescent="0.2">
      <c r="A662" s="28"/>
      <c r="B662" s="28"/>
      <c r="C662" s="28"/>
      <c r="D662" s="28"/>
      <c r="E662" s="28"/>
      <c r="F662" s="28"/>
      <c r="G662" s="28"/>
    </row>
    <row r="663" spans="1:7" ht="12.75" x14ac:dyDescent="0.2">
      <c r="A663" s="28"/>
      <c r="B663" s="28"/>
      <c r="C663" s="28"/>
      <c r="D663" s="28"/>
      <c r="E663" s="28"/>
      <c r="F663" s="28"/>
      <c r="G663" s="28"/>
    </row>
    <row r="664" spans="1:7" ht="12.75" x14ac:dyDescent="0.2">
      <c r="A664" s="28"/>
      <c r="B664" s="28"/>
      <c r="C664" s="28"/>
      <c r="D664" s="28"/>
      <c r="E664" s="28"/>
      <c r="F664" s="28"/>
      <c r="G664" s="28"/>
    </row>
    <row r="665" spans="1:7" ht="12.75" x14ac:dyDescent="0.2">
      <c r="A665" s="28"/>
      <c r="B665" s="28"/>
      <c r="C665" s="28"/>
      <c r="D665" s="28"/>
      <c r="E665" s="28"/>
      <c r="F665" s="28"/>
      <c r="G665" s="28"/>
    </row>
    <row r="666" spans="1:7" ht="12.75" x14ac:dyDescent="0.2">
      <c r="A666" s="28"/>
      <c r="B666" s="28"/>
      <c r="C666" s="28"/>
      <c r="D666" s="28"/>
      <c r="E666" s="28"/>
      <c r="F666" s="28"/>
      <c r="G666" s="28"/>
    </row>
    <row r="667" spans="1:7" ht="12.75" x14ac:dyDescent="0.2">
      <c r="A667" s="28"/>
      <c r="B667" s="28"/>
      <c r="C667" s="28"/>
      <c r="D667" s="28"/>
      <c r="E667" s="28"/>
      <c r="F667" s="28"/>
      <c r="G667" s="28"/>
    </row>
    <row r="668" spans="1:7" ht="12.75" x14ac:dyDescent="0.2">
      <c r="A668" s="28"/>
      <c r="B668" s="28"/>
      <c r="C668" s="28"/>
      <c r="D668" s="28"/>
      <c r="E668" s="28"/>
      <c r="F668" s="28"/>
      <c r="G668" s="28"/>
    </row>
    <row r="669" spans="1:7" ht="12.75" x14ac:dyDescent="0.2">
      <c r="A669" s="28"/>
      <c r="B669" s="28"/>
      <c r="C669" s="28"/>
      <c r="D669" s="28"/>
      <c r="E669" s="28"/>
      <c r="F669" s="28"/>
      <c r="G669" s="28"/>
    </row>
    <row r="670" spans="1:7" ht="12.75" x14ac:dyDescent="0.2">
      <c r="A670" s="28"/>
      <c r="B670" s="28"/>
      <c r="C670" s="28"/>
      <c r="D670" s="28"/>
      <c r="E670" s="28"/>
      <c r="F670" s="28"/>
      <c r="G670" s="28"/>
    </row>
    <row r="671" spans="1:7" ht="12.75" x14ac:dyDescent="0.2">
      <c r="A671" s="28"/>
      <c r="B671" s="28"/>
      <c r="C671" s="28"/>
      <c r="D671" s="28"/>
      <c r="E671" s="28"/>
      <c r="F671" s="28"/>
      <c r="G671" s="28"/>
    </row>
    <row r="672" spans="1:7" ht="12.75" x14ac:dyDescent="0.2">
      <c r="A672" s="28"/>
      <c r="B672" s="28"/>
      <c r="C672" s="28"/>
      <c r="D672" s="28"/>
      <c r="E672" s="28"/>
      <c r="F672" s="28"/>
      <c r="G672" s="28"/>
    </row>
    <row r="673" spans="1:7" ht="12.75" x14ac:dyDescent="0.2">
      <c r="A673" s="28"/>
      <c r="B673" s="28"/>
      <c r="C673" s="28"/>
      <c r="D673" s="28"/>
      <c r="E673" s="28"/>
      <c r="F673" s="28"/>
      <c r="G673" s="28"/>
    </row>
    <row r="674" spans="1:7" ht="12.75" x14ac:dyDescent="0.2">
      <c r="A674" s="28"/>
      <c r="B674" s="28"/>
      <c r="C674" s="28"/>
      <c r="D674" s="28"/>
      <c r="E674" s="28"/>
      <c r="F674" s="28"/>
      <c r="G674" s="28"/>
    </row>
    <row r="675" spans="1:7" ht="12.75" x14ac:dyDescent="0.2">
      <c r="A675" s="28"/>
      <c r="B675" s="28"/>
      <c r="C675" s="28"/>
      <c r="D675" s="28"/>
      <c r="E675" s="28"/>
      <c r="F675" s="28"/>
      <c r="G675" s="28"/>
    </row>
    <row r="676" spans="1:7" ht="12.75" x14ac:dyDescent="0.2">
      <c r="A676" s="28"/>
      <c r="B676" s="28"/>
      <c r="C676" s="28"/>
      <c r="D676" s="28"/>
      <c r="E676" s="28"/>
      <c r="F676" s="28"/>
      <c r="G676" s="28"/>
    </row>
    <row r="677" spans="1:7" ht="12.75" x14ac:dyDescent="0.2">
      <c r="A677" s="28"/>
      <c r="B677" s="28"/>
      <c r="C677" s="28"/>
      <c r="D677" s="28"/>
      <c r="E677" s="28"/>
      <c r="F677" s="28"/>
      <c r="G677" s="28"/>
    </row>
    <row r="678" spans="1:7" ht="12.75" x14ac:dyDescent="0.2">
      <c r="A678" s="28"/>
      <c r="B678" s="28"/>
      <c r="C678" s="28"/>
      <c r="D678" s="28"/>
      <c r="E678" s="28"/>
      <c r="F678" s="28"/>
      <c r="G678" s="28"/>
    </row>
    <row r="679" spans="1:7" ht="12.75" x14ac:dyDescent="0.2">
      <c r="A679" s="28"/>
      <c r="B679" s="28"/>
      <c r="C679" s="28"/>
      <c r="D679" s="28"/>
      <c r="E679" s="28"/>
      <c r="F679" s="28"/>
      <c r="G679" s="28"/>
    </row>
    <row r="680" spans="1:7" ht="12.75" x14ac:dyDescent="0.2">
      <c r="A680" s="28"/>
      <c r="B680" s="28"/>
      <c r="C680" s="28"/>
      <c r="D680" s="28"/>
      <c r="E680" s="28"/>
      <c r="F680" s="28"/>
      <c r="G680" s="28"/>
    </row>
    <row r="681" spans="1:7" ht="12.75" x14ac:dyDescent="0.2">
      <c r="A681" s="28"/>
      <c r="B681" s="28"/>
      <c r="C681" s="28"/>
      <c r="D681" s="28"/>
      <c r="E681" s="28"/>
      <c r="F681" s="28"/>
      <c r="G681" s="28"/>
    </row>
    <row r="682" spans="1:7" ht="12.75" x14ac:dyDescent="0.2">
      <c r="A682" s="28"/>
      <c r="B682" s="28"/>
      <c r="C682" s="28"/>
      <c r="D682" s="28"/>
      <c r="E682" s="28"/>
      <c r="F682" s="28"/>
      <c r="G682" s="28"/>
    </row>
    <row r="683" spans="1:7" ht="12.75" x14ac:dyDescent="0.2">
      <c r="A683" s="28"/>
      <c r="B683" s="28"/>
      <c r="C683" s="28"/>
      <c r="D683" s="28"/>
      <c r="E683" s="28"/>
      <c r="F683" s="28"/>
      <c r="G683" s="28"/>
    </row>
    <row r="684" spans="1:7" ht="12.75" x14ac:dyDescent="0.2">
      <c r="A684" s="28"/>
      <c r="B684" s="28"/>
      <c r="C684" s="28"/>
      <c r="D684" s="28"/>
      <c r="E684" s="28"/>
      <c r="F684" s="28"/>
      <c r="G684" s="28"/>
    </row>
    <row r="685" spans="1:7" ht="12.75" x14ac:dyDescent="0.2">
      <c r="A685" s="28"/>
      <c r="B685" s="28"/>
      <c r="C685" s="28"/>
      <c r="D685" s="28"/>
      <c r="E685" s="28"/>
      <c r="F685" s="28"/>
      <c r="G685" s="28"/>
    </row>
    <row r="686" spans="1:7" ht="12.75" x14ac:dyDescent="0.2">
      <c r="A686" s="28"/>
      <c r="B686" s="28"/>
      <c r="C686" s="28"/>
      <c r="D686" s="28"/>
      <c r="E686" s="28"/>
      <c r="F686" s="28"/>
      <c r="G686" s="28"/>
    </row>
    <row r="687" spans="1:7" ht="12.75" x14ac:dyDescent="0.2">
      <c r="A687" s="28"/>
      <c r="B687" s="28"/>
      <c r="C687" s="28"/>
      <c r="D687" s="28"/>
      <c r="E687" s="28"/>
      <c r="F687" s="28"/>
      <c r="G687" s="28"/>
    </row>
    <row r="688" spans="1:7" ht="12.75" x14ac:dyDescent="0.2">
      <c r="A688" s="28"/>
      <c r="B688" s="28"/>
      <c r="C688" s="28"/>
      <c r="D688" s="28"/>
      <c r="E688" s="28"/>
      <c r="F688" s="28"/>
      <c r="G688" s="28"/>
    </row>
    <row r="689" spans="1:7" ht="12.75" x14ac:dyDescent="0.2">
      <c r="A689" s="28"/>
      <c r="B689" s="28"/>
      <c r="C689" s="28"/>
      <c r="D689" s="28"/>
      <c r="E689" s="28"/>
      <c r="F689" s="28"/>
      <c r="G689" s="28"/>
    </row>
    <row r="690" spans="1:7" ht="12.75" x14ac:dyDescent="0.2">
      <c r="A690" s="28"/>
      <c r="B690" s="28"/>
      <c r="C690" s="28"/>
      <c r="D690" s="28"/>
      <c r="E690" s="28"/>
      <c r="F690" s="28"/>
      <c r="G690" s="28"/>
    </row>
    <row r="691" spans="1:7" ht="12.75" x14ac:dyDescent="0.2">
      <c r="A691" s="28"/>
      <c r="B691" s="28"/>
      <c r="C691" s="28"/>
      <c r="D691" s="28"/>
      <c r="E691" s="28"/>
      <c r="F691" s="28"/>
      <c r="G691" s="28"/>
    </row>
    <row r="692" spans="1:7" ht="12.75" x14ac:dyDescent="0.2">
      <c r="A692" s="28"/>
      <c r="B692" s="28"/>
      <c r="C692" s="28"/>
      <c r="D692" s="28"/>
      <c r="E692" s="28"/>
      <c r="F692" s="28"/>
      <c r="G692" s="28"/>
    </row>
    <row r="693" spans="1:7" ht="12.75" x14ac:dyDescent="0.2">
      <c r="A693" s="28"/>
      <c r="B693" s="28"/>
      <c r="C693" s="28"/>
      <c r="D693" s="28"/>
      <c r="E693" s="28"/>
      <c r="F693" s="28"/>
      <c r="G693" s="28"/>
    </row>
    <row r="694" spans="1:7" ht="12.75" x14ac:dyDescent="0.2">
      <c r="A694" s="28"/>
      <c r="B694" s="28"/>
      <c r="C694" s="28"/>
      <c r="D694" s="28"/>
      <c r="E694" s="28"/>
      <c r="F694" s="28"/>
      <c r="G694" s="28"/>
    </row>
    <row r="695" spans="1:7" ht="12.75" x14ac:dyDescent="0.2">
      <c r="A695" s="28"/>
      <c r="B695" s="28"/>
      <c r="C695" s="28"/>
      <c r="D695" s="28"/>
      <c r="E695" s="28"/>
      <c r="F695" s="28"/>
      <c r="G695" s="28"/>
    </row>
    <row r="696" spans="1:7" ht="12.75" x14ac:dyDescent="0.2">
      <c r="A696" s="28"/>
      <c r="B696" s="28"/>
      <c r="C696" s="28"/>
      <c r="D696" s="28"/>
      <c r="E696" s="28"/>
      <c r="F696" s="28"/>
      <c r="G696" s="28"/>
    </row>
    <row r="697" spans="1:7" ht="12.75" x14ac:dyDescent="0.2">
      <c r="A697" s="28"/>
      <c r="B697" s="28"/>
      <c r="C697" s="28"/>
      <c r="D697" s="28"/>
      <c r="E697" s="28"/>
      <c r="F697" s="28"/>
      <c r="G697" s="28"/>
    </row>
    <row r="698" spans="1:7" ht="12.75" x14ac:dyDescent="0.2">
      <c r="A698" s="28"/>
      <c r="B698" s="28"/>
      <c r="C698" s="28"/>
      <c r="D698" s="28"/>
      <c r="E698" s="28"/>
      <c r="F698" s="28"/>
      <c r="G698" s="28"/>
    </row>
    <row r="699" spans="1:7" ht="12.75" x14ac:dyDescent="0.2">
      <c r="A699" s="28"/>
      <c r="B699" s="28"/>
      <c r="C699" s="28"/>
      <c r="D699" s="28"/>
      <c r="E699" s="28"/>
      <c r="F699" s="28"/>
      <c r="G699" s="28"/>
    </row>
    <row r="700" spans="1:7" ht="12.75" x14ac:dyDescent="0.2">
      <c r="A700" s="28"/>
      <c r="B700" s="28"/>
      <c r="C700" s="28"/>
      <c r="D700" s="28"/>
      <c r="E700" s="28"/>
      <c r="F700" s="28"/>
      <c r="G700" s="28"/>
    </row>
    <row r="701" spans="1:7" ht="12.75" x14ac:dyDescent="0.2">
      <c r="A701" s="28"/>
      <c r="B701" s="28"/>
      <c r="C701" s="28"/>
      <c r="D701" s="28"/>
      <c r="E701" s="28"/>
      <c r="F701" s="28"/>
      <c r="G701" s="28"/>
    </row>
    <row r="702" spans="1:7" ht="12.75" x14ac:dyDescent="0.2">
      <c r="A702" s="28"/>
      <c r="B702" s="28"/>
      <c r="C702" s="28"/>
      <c r="D702" s="28"/>
      <c r="E702" s="28"/>
      <c r="F702" s="28"/>
      <c r="G702" s="28"/>
    </row>
    <row r="703" spans="1:7" ht="12.75" x14ac:dyDescent="0.2">
      <c r="A703" s="28"/>
      <c r="B703" s="28"/>
      <c r="C703" s="28"/>
      <c r="D703" s="28"/>
      <c r="E703" s="28"/>
      <c r="F703" s="28"/>
      <c r="G703" s="28"/>
    </row>
    <row r="704" spans="1:7" ht="12.75" x14ac:dyDescent="0.2">
      <c r="A704" s="28"/>
      <c r="B704" s="28"/>
      <c r="C704" s="28"/>
      <c r="D704" s="28"/>
      <c r="E704" s="28"/>
      <c r="F704" s="28"/>
      <c r="G704" s="28"/>
    </row>
    <row r="705" spans="1:7" ht="12.75" x14ac:dyDescent="0.2">
      <c r="A705" s="28"/>
      <c r="B705" s="28"/>
      <c r="C705" s="28"/>
      <c r="D705" s="28"/>
      <c r="E705" s="28"/>
      <c r="F705" s="28"/>
      <c r="G705" s="28"/>
    </row>
    <row r="706" spans="1:7" ht="12.75" x14ac:dyDescent="0.2">
      <c r="A706" s="28"/>
      <c r="B706" s="28"/>
      <c r="C706" s="28"/>
      <c r="D706" s="28"/>
      <c r="E706" s="28"/>
      <c r="F706" s="28"/>
      <c r="G706" s="28"/>
    </row>
    <row r="707" spans="1:7" ht="12.75" x14ac:dyDescent="0.2">
      <c r="A707" s="28"/>
      <c r="B707" s="28"/>
      <c r="C707" s="28"/>
      <c r="D707" s="28"/>
      <c r="E707" s="28"/>
      <c r="F707" s="28"/>
      <c r="G707" s="28"/>
    </row>
    <row r="708" spans="1:7" ht="12.75" x14ac:dyDescent="0.2">
      <c r="A708" s="28"/>
      <c r="B708" s="28"/>
      <c r="C708" s="28"/>
      <c r="D708" s="28"/>
      <c r="E708" s="28"/>
      <c r="F708" s="28"/>
      <c r="G708" s="28"/>
    </row>
    <row r="709" spans="1:7" ht="12.75" x14ac:dyDescent="0.2">
      <c r="A709" s="28"/>
      <c r="B709" s="28"/>
      <c r="C709" s="28"/>
      <c r="D709" s="28"/>
      <c r="E709" s="28"/>
      <c r="F709" s="28"/>
      <c r="G709" s="28"/>
    </row>
    <row r="710" spans="1:7" ht="12.75" x14ac:dyDescent="0.2">
      <c r="A710" s="28"/>
      <c r="B710" s="28"/>
      <c r="C710" s="28"/>
      <c r="D710" s="28"/>
      <c r="E710" s="28"/>
      <c r="F710" s="28"/>
      <c r="G710" s="28"/>
    </row>
    <row r="711" spans="1:7" ht="12.75" x14ac:dyDescent="0.2">
      <c r="A711" s="28"/>
      <c r="B711" s="28"/>
      <c r="C711" s="28"/>
      <c r="D711" s="28"/>
      <c r="E711" s="28"/>
      <c r="F711" s="28"/>
      <c r="G711" s="28"/>
    </row>
    <row r="712" spans="1:7" ht="12.75" x14ac:dyDescent="0.2">
      <c r="A712" s="28"/>
      <c r="B712" s="28"/>
      <c r="C712" s="28"/>
      <c r="D712" s="28"/>
      <c r="E712" s="28"/>
      <c r="F712" s="28"/>
      <c r="G712" s="28"/>
    </row>
    <row r="713" spans="1:7" ht="12.75" x14ac:dyDescent="0.2">
      <c r="A713" s="28"/>
      <c r="B713" s="28"/>
      <c r="C713" s="28"/>
      <c r="D713" s="28"/>
      <c r="E713" s="28"/>
      <c r="F713" s="28"/>
      <c r="G713" s="28"/>
    </row>
    <row r="714" spans="1:7" ht="12.75" x14ac:dyDescent="0.2">
      <c r="A714" s="28"/>
      <c r="B714" s="28"/>
      <c r="C714" s="28"/>
      <c r="D714" s="28"/>
      <c r="E714" s="28"/>
      <c r="F714" s="28"/>
      <c r="G714" s="28"/>
    </row>
    <row r="715" spans="1:7" ht="12.75" x14ac:dyDescent="0.2">
      <c r="A715" s="28"/>
      <c r="B715" s="28"/>
      <c r="C715" s="28"/>
      <c r="D715" s="28"/>
      <c r="E715" s="28"/>
      <c r="F715" s="28"/>
      <c r="G715" s="28"/>
    </row>
    <row r="716" spans="1:7" ht="12.75" x14ac:dyDescent="0.2">
      <c r="A716" s="28"/>
      <c r="B716" s="28"/>
      <c r="C716" s="28"/>
      <c r="D716" s="28"/>
      <c r="E716" s="28"/>
      <c r="F716" s="28"/>
      <c r="G716" s="28"/>
    </row>
    <row r="717" spans="1:7" ht="12.75" x14ac:dyDescent="0.2">
      <c r="A717" s="28"/>
      <c r="B717" s="28"/>
      <c r="C717" s="28"/>
      <c r="D717" s="28"/>
      <c r="E717" s="28"/>
      <c r="F717" s="28"/>
      <c r="G717" s="28"/>
    </row>
    <row r="718" spans="1:7" ht="12.75" x14ac:dyDescent="0.2">
      <c r="A718" s="28"/>
      <c r="B718" s="28"/>
      <c r="C718" s="28"/>
      <c r="D718" s="28"/>
      <c r="E718" s="28"/>
      <c r="F718" s="28"/>
      <c r="G718" s="28"/>
    </row>
    <row r="719" spans="1:7" ht="12.75" x14ac:dyDescent="0.2">
      <c r="A719" s="28"/>
      <c r="B719" s="28"/>
      <c r="C719" s="28"/>
      <c r="D719" s="28"/>
      <c r="E719" s="28"/>
      <c r="F719" s="28"/>
      <c r="G719" s="28"/>
    </row>
    <row r="720" spans="1:7" ht="12.75" x14ac:dyDescent="0.2">
      <c r="A720" s="28"/>
      <c r="B720" s="28"/>
      <c r="C720" s="28"/>
      <c r="D720" s="28"/>
      <c r="E720" s="28"/>
      <c r="F720" s="28"/>
      <c r="G720" s="28"/>
    </row>
    <row r="721" spans="1:7" ht="12.75" x14ac:dyDescent="0.2">
      <c r="A721" s="28"/>
      <c r="B721" s="28"/>
      <c r="C721" s="28"/>
      <c r="D721" s="28"/>
      <c r="E721" s="28"/>
      <c r="F721" s="28"/>
      <c r="G721" s="28"/>
    </row>
    <row r="722" spans="1:7" ht="12.75" x14ac:dyDescent="0.2">
      <c r="A722" s="28"/>
      <c r="B722" s="28"/>
      <c r="C722" s="28"/>
      <c r="D722" s="28"/>
      <c r="E722" s="28"/>
      <c r="F722" s="28"/>
      <c r="G722" s="28"/>
    </row>
    <row r="723" spans="1:7" ht="12.75" x14ac:dyDescent="0.2">
      <c r="A723" s="28"/>
      <c r="B723" s="28"/>
      <c r="C723" s="28"/>
      <c r="D723" s="28"/>
      <c r="E723" s="28"/>
      <c r="F723" s="28"/>
      <c r="G723" s="28"/>
    </row>
    <row r="724" spans="1:7" ht="12.75" x14ac:dyDescent="0.2">
      <c r="A724" s="28"/>
      <c r="B724" s="28"/>
      <c r="C724" s="28"/>
      <c r="D724" s="28"/>
      <c r="E724" s="28"/>
      <c r="F724" s="28"/>
      <c r="G724" s="28"/>
    </row>
    <row r="725" spans="1:7" ht="12.75" x14ac:dyDescent="0.2">
      <c r="A725" s="28"/>
      <c r="B725" s="28"/>
      <c r="C725" s="28"/>
      <c r="D725" s="28"/>
      <c r="E725" s="28"/>
      <c r="F725" s="28"/>
      <c r="G725" s="28"/>
    </row>
    <row r="726" spans="1:7" ht="12.75" x14ac:dyDescent="0.2">
      <c r="A726" s="28"/>
      <c r="B726" s="28"/>
      <c r="C726" s="28"/>
      <c r="D726" s="28"/>
      <c r="E726" s="28"/>
      <c r="F726" s="28"/>
      <c r="G726" s="28"/>
    </row>
    <row r="727" spans="1:7" ht="12.75" x14ac:dyDescent="0.2">
      <c r="A727" s="28"/>
      <c r="B727" s="28"/>
      <c r="C727" s="28"/>
      <c r="D727" s="28"/>
      <c r="E727" s="28"/>
      <c r="F727" s="28"/>
      <c r="G727" s="28"/>
    </row>
    <row r="728" spans="1:7" ht="12.75" x14ac:dyDescent="0.2">
      <c r="A728" s="28"/>
      <c r="B728" s="28"/>
      <c r="C728" s="28"/>
      <c r="D728" s="28"/>
      <c r="E728" s="28"/>
      <c r="F728" s="28"/>
      <c r="G728" s="28"/>
    </row>
    <row r="729" spans="1:7" ht="12.75" x14ac:dyDescent="0.2">
      <c r="A729" s="28"/>
      <c r="B729" s="28"/>
      <c r="C729" s="28"/>
      <c r="D729" s="28"/>
      <c r="E729" s="28"/>
      <c r="F729" s="28"/>
      <c r="G729" s="28"/>
    </row>
    <row r="730" spans="1:7" ht="12.75" x14ac:dyDescent="0.2">
      <c r="A730" s="28"/>
      <c r="B730" s="28"/>
      <c r="C730" s="28"/>
      <c r="D730" s="28"/>
      <c r="E730" s="28"/>
      <c r="F730" s="28"/>
      <c r="G730" s="28"/>
    </row>
    <row r="731" spans="1:7" ht="12.75" x14ac:dyDescent="0.2">
      <c r="A731" s="28"/>
      <c r="B731" s="28"/>
      <c r="C731" s="28"/>
      <c r="D731" s="28"/>
      <c r="E731" s="28"/>
      <c r="F731" s="28"/>
      <c r="G731" s="28"/>
    </row>
    <row r="732" spans="1:7" ht="12.75" x14ac:dyDescent="0.2">
      <c r="A732" s="28"/>
      <c r="B732" s="28"/>
      <c r="C732" s="28"/>
      <c r="D732" s="28"/>
      <c r="E732" s="28"/>
      <c r="F732" s="28"/>
      <c r="G732" s="28"/>
    </row>
    <row r="733" spans="1:7" ht="12.75" x14ac:dyDescent="0.2">
      <c r="A733" s="28"/>
      <c r="B733" s="28"/>
      <c r="C733" s="28"/>
      <c r="D733" s="28"/>
      <c r="E733" s="28"/>
      <c r="F733" s="28"/>
      <c r="G733" s="28"/>
    </row>
    <row r="734" spans="1:7" ht="12.75" x14ac:dyDescent="0.2">
      <c r="A734" s="28"/>
      <c r="B734" s="28"/>
      <c r="C734" s="28"/>
      <c r="D734" s="28"/>
      <c r="E734" s="28"/>
      <c r="F734" s="28"/>
      <c r="G734" s="28"/>
    </row>
    <row r="735" spans="1:7" ht="12.75" x14ac:dyDescent="0.2">
      <c r="A735" s="28"/>
      <c r="B735" s="28"/>
      <c r="C735" s="28"/>
      <c r="D735" s="28"/>
      <c r="E735" s="28"/>
      <c r="F735" s="28"/>
      <c r="G735" s="28"/>
    </row>
    <row r="736" spans="1:7" ht="12.75" x14ac:dyDescent="0.2">
      <c r="A736" s="28"/>
      <c r="B736" s="28"/>
      <c r="C736" s="28"/>
      <c r="D736" s="28"/>
      <c r="E736" s="28"/>
      <c r="F736" s="28"/>
      <c r="G736" s="28"/>
    </row>
    <row r="737" spans="1:7" ht="12.75" x14ac:dyDescent="0.2">
      <c r="A737" s="28"/>
      <c r="B737" s="28"/>
      <c r="C737" s="28"/>
      <c r="D737" s="28"/>
      <c r="E737" s="28"/>
      <c r="F737" s="28"/>
      <c r="G737" s="28"/>
    </row>
    <row r="738" spans="1:7" ht="12.75" x14ac:dyDescent="0.2">
      <c r="A738" s="28"/>
      <c r="B738" s="28"/>
      <c r="C738" s="28"/>
      <c r="D738" s="28"/>
      <c r="E738" s="28"/>
      <c r="F738" s="28"/>
      <c r="G738" s="28"/>
    </row>
    <row r="739" spans="1:7" ht="12.75" x14ac:dyDescent="0.2">
      <c r="A739" s="28"/>
      <c r="B739" s="28"/>
      <c r="C739" s="28"/>
      <c r="D739" s="28"/>
      <c r="E739" s="28"/>
      <c r="F739" s="28"/>
      <c r="G739" s="28"/>
    </row>
    <row r="740" spans="1:7" ht="12.75" x14ac:dyDescent="0.2">
      <c r="A740" s="28"/>
      <c r="B740" s="28"/>
      <c r="C740" s="28"/>
      <c r="D740" s="28"/>
      <c r="E740" s="28"/>
      <c r="F740" s="28"/>
      <c r="G740" s="28"/>
    </row>
    <row r="741" spans="1:7" ht="12.75" x14ac:dyDescent="0.2">
      <c r="A741" s="28"/>
      <c r="B741" s="28"/>
      <c r="C741" s="28"/>
      <c r="D741" s="28"/>
      <c r="E741" s="28"/>
      <c r="F741" s="28"/>
      <c r="G741" s="28"/>
    </row>
    <row r="742" spans="1:7" ht="12.75" x14ac:dyDescent="0.2">
      <c r="A742" s="28"/>
      <c r="B742" s="28"/>
      <c r="C742" s="28"/>
      <c r="D742" s="28"/>
      <c r="E742" s="28"/>
      <c r="F742" s="28"/>
      <c r="G742" s="28"/>
    </row>
    <row r="743" spans="1:7" ht="12.75" x14ac:dyDescent="0.2">
      <c r="A743" s="28"/>
      <c r="B743" s="28"/>
      <c r="C743" s="28"/>
      <c r="D743" s="28"/>
      <c r="E743" s="28"/>
      <c r="F743" s="28"/>
      <c r="G743" s="28"/>
    </row>
    <row r="744" spans="1:7" ht="12.75" x14ac:dyDescent="0.2">
      <c r="A744" s="28"/>
      <c r="B744" s="28"/>
      <c r="C744" s="28"/>
      <c r="D744" s="28"/>
      <c r="E744" s="28"/>
      <c r="F744" s="28"/>
      <c r="G744" s="28"/>
    </row>
    <row r="745" spans="1:7" ht="12.75" x14ac:dyDescent="0.2">
      <c r="A745" s="28"/>
      <c r="B745" s="28"/>
      <c r="C745" s="28"/>
      <c r="D745" s="28"/>
      <c r="E745" s="28"/>
      <c r="F745" s="28"/>
      <c r="G745" s="28"/>
    </row>
    <row r="746" spans="1:7" ht="12.75" x14ac:dyDescent="0.2">
      <c r="A746" s="28"/>
      <c r="B746" s="28"/>
      <c r="C746" s="28"/>
      <c r="D746" s="28"/>
      <c r="E746" s="28"/>
      <c r="F746" s="28"/>
      <c r="G746" s="28"/>
    </row>
    <row r="747" spans="1:7" ht="12.75" x14ac:dyDescent="0.2">
      <c r="A747" s="28"/>
      <c r="B747" s="28"/>
      <c r="C747" s="28"/>
      <c r="D747" s="28"/>
      <c r="E747" s="28"/>
      <c r="F747" s="28"/>
      <c r="G747" s="28"/>
    </row>
    <row r="748" spans="1:7" ht="12.75" x14ac:dyDescent="0.2">
      <c r="A748" s="28"/>
      <c r="B748" s="28"/>
      <c r="C748" s="28"/>
      <c r="D748" s="28"/>
      <c r="E748" s="28"/>
      <c r="F748" s="28"/>
      <c r="G748" s="28"/>
    </row>
    <row r="749" spans="1:7" ht="12.75" x14ac:dyDescent="0.2">
      <c r="A749" s="28"/>
      <c r="B749" s="28"/>
      <c r="C749" s="28"/>
      <c r="D749" s="28"/>
      <c r="E749" s="28"/>
      <c r="F749" s="28"/>
      <c r="G749" s="28"/>
    </row>
    <row r="750" spans="1:7" ht="12.75" x14ac:dyDescent="0.2">
      <c r="A750" s="28"/>
      <c r="B750" s="28"/>
      <c r="C750" s="28"/>
      <c r="D750" s="28"/>
      <c r="E750" s="28"/>
      <c r="F750" s="28"/>
      <c r="G750" s="28"/>
    </row>
    <row r="751" spans="1:7" ht="12.75" x14ac:dyDescent="0.2">
      <c r="A751" s="28"/>
      <c r="B751" s="28"/>
      <c r="C751" s="28"/>
      <c r="D751" s="28"/>
      <c r="E751" s="28"/>
      <c r="F751" s="28"/>
      <c r="G751" s="28"/>
    </row>
    <row r="752" spans="1:7" ht="12.75" x14ac:dyDescent="0.2">
      <c r="A752" s="28"/>
      <c r="B752" s="28"/>
      <c r="C752" s="28"/>
      <c r="D752" s="28"/>
      <c r="E752" s="28"/>
      <c r="F752" s="28"/>
      <c r="G752" s="28"/>
    </row>
    <row r="753" spans="1:7" ht="12.75" x14ac:dyDescent="0.2">
      <c r="A753" s="28"/>
      <c r="B753" s="28"/>
      <c r="C753" s="28"/>
      <c r="D753" s="28"/>
      <c r="E753" s="28"/>
      <c r="F753" s="28"/>
      <c r="G753" s="28"/>
    </row>
    <row r="754" spans="1:7" ht="12.75" x14ac:dyDescent="0.2">
      <c r="A754" s="28"/>
      <c r="B754" s="28"/>
      <c r="C754" s="28"/>
      <c r="D754" s="28"/>
      <c r="E754" s="28"/>
      <c r="F754" s="28"/>
      <c r="G754" s="28"/>
    </row>
    <row r="755" spans="1:7" ht="12.75" x14ac:dyDescent="0.2">
      <c r="A755" s="28"/>
      <c r="B755" s="28"/>
      <c r="C755" s="28"/>
      <c r="D755" s="28"/>
      <c r="E755" s="28"/>
      <c r="F755" s="28"/>
      <c r="G755" s="28"/>
    </row>
    <row r="756" spans="1:7" ht="12.75" x14ac:dyDescent="0.2">
      <c r="A756" s="28"/>
      <c r="B756" s="28"/>
      <c r="C756" s="28"/>
      <c r="D756" s="28"/>
      <c r="E756" s="28"/>
      <c r="F756" s="28"/>
      <c r="G756" s="28"/>
    </row>
    <row r="757" spans="1:7" ht="12.75" x14ac:dyDescent="0.2">
      <c r="A757" s="28"/>
      <c r="B757" s="28"/>
      <c r="C757" s="28"/>
      <c r="D757" s="28"/>
      <c r="E757" s="28"/>
      <c r="F757" s="28"/>
      <c r="G757" s="28"/>
    </row>
    <row r="758" spans="1:7" ht="12.75" x14ac:dyDescent="0.2">
      <c r="A758" s="28"/>
      <c r="B758" s="28"/>
      <c r="C758" s="28"/>
      <c r="D758" s="28"/>
      <c r="E758" s="28"/>
      <c r="F758" s="28"/>
      <c r="G758" s="28"/>
    </row>
    <row r="759" spans="1:7" ht="12.75" x14ac:dyDescent="0.2">
      <c r="A759" s="28"/>
      <c r="B759" s="28"/>
      <c r="C759" s="28"/>
      <c r="D759" s="28"/>
      <c r="E759" s="28"/>
      <c r="F759" s="28"/>
      <c r="G759" s="28"/>
    </row>
    <row r="760" spans="1:7" ht="12.75" x14ac:dyDescent="0.2">
      <c r="A760" s="28"/>
      <c r="B760" s="28"/>
      <c r="C760" s="28"/>
      <c r="D760" s="28"/>
      <c r="E760" s="28"/>
      <c r="F760" s="28"/>
      <c r="G760" s="28"/>
    </row>
    <row r="761" spans="1:7" ht="12.75" x14ac:dyDescent="0.2">
      <c r="A761" s="28"/>
      <c r="B761" s="28"/>
      <c r="C761" s="28"/>
      <c r="D761" s="28"/>
      <c r="E761" s="28"/>
      <c r="F761" s="28"/>
      <c r="G761" s="28"/>
    </row>
    <row r="762" spans="1:7" ht="12.75" x14ac:dyDescent="0.2">
      <c r="A762" s="28"/>
      <c r="B762" s="28"/>
      <c r="C762" s="28"/>
      <c r="D762" s="28"/>
      <c r="E762" s="28"/>
      <c r="F762" s="28"/>
      <c r="G762" s="28"/>
    </row>
    <row r="763" spans="1:7" ht="12.75" x14ac:dyDescent="0.2">
      <c r="A763" s="28"/>
      <c r="B763" s="28"/>
      <c r="C763" s="28"/>
      <c r="D763" s="28"/>
      <c r="E763" s="28"/>
      <c r="F763" s="28"/>
      <c r="G763" s="28"/>
    </row>
    <row r="764" spans="1:7" ht="12.75" x14ac:dyDescent="0.2">
      <c r="A764" s="28"/>
      <c r="B764" s="28"/>
      <c r="C764" s="28"/>
      <c r="D764" s="28"/>
      <c r="E764" s="28"/>
      <c r="F764" s="28"/>
      <c r="G764" s="28"/>
    </row>
    <row r="765" spans="1:7" ht="12.75" x14ac:dyDescent="0.2">
      <c r="A765" s="28"/>
      <c r="B765" s="28"/>
      <c r="C765" s="28"/>
      <c r="D765" s="28"/>
      <c r="E765" s="28"/>
      <c r="F765" s="28"/>
      <c r="G765" s="28"/>
    </row>
    <row r="766" spans="1:7" ht="12.75" x14ac:dyDescent="0.2">
      <c r="A766" s="28"/>
      <c r="B766" s="28"/>
      <c r="C766" s="28"/>
      <c r="D766" s="28"/>
      <c r="E766" s="28"/>
      <c r="F766" s="28"/>
      <c r="G766" s="28"/>
    </row>
    <row r="767" spans="1:7" ht="12.75" x14ac:dyDescent="0.2">
      <c r="A767" s="28"/>
      <c r="B767" s="28"/>
      <c r="C767" s="28"/>
      <c r="D767" s="28"/>
      <c r="E767" s="28"/>
      <c r="F767" s="28"/>
      <c r="G767" s="28"/>
    </row>
    <row r="768" spans="1:7" ht="12.75" x14ac:dyDescent="0.2">
      <c r="A768" s="28"/>
      <c r="B768" s="28"/>
      <c r="C768" s="28"/>
      <c r="D768" s="28"/>
      <c r="E768" s="28"/>
      <c r="F768" s="28"/>
      <c r="G768" s="28"/>
    </row>
    <row r="769" spans="1:7" ht="12.75" x14ac:dyDescent="0.2">
      <c r="A769" s="28"/>
      <c r="B769" s="28"/>
      <c r="C769" s="28"/>
      <c r="D769" s="28"/>
      <c r="E769" s="28"/>
      <c r="F769" s="28"/>
      <c r="G769" s="28"/>
    </row>
    <row r="770" spans="1:7" ht="12.75" x14ac:dyDescent="0.2">
      <c r="A770" s="28"/>
      <c r="B770" s="28"/>
      <c r="C770" s="28"/>
      <c r="D770" s="28"/>
      <c r="E770" s="28"/>
      <c r="F770" s="28"/>
      <c r="G770" s="28"/>
    </row>
    <row r="771" spans="1:7" ht="12.75" x14ac:dyDescent="0.2">
      <c r="A771" s="28"/>
      <c r="B771" s="28"/>
      <c r="C771" s="28"/>
      <c r="D771" s="28"/>
      <c r="E771" s="28"/>
      <c r="F771" s="28"/>
      <c r="G771" s="28"/>
    </row>
    <row r="772" spans="1:7" ht="12.75" x14ac:dyDescent="0.2">
      <c r="A772" s="28"/>
      <c r="B772" s="28"/>
      <c r="C772" s="28"/>
      <c r="D772" s="28"/>
      <c r="E772" s="28"/>
      <c r="F772" s="28"/>
      <c r="G772" s="28"/>
    </row>
    <row r="773" spans="1:7" ht="12.75" x14ac:dyDescent="0.2">
      <c r="A773" s="28"/>
      <c r="B773" s="28"/>
      <c r="C773" s="28"/>
      <c r="D773" s="28"/>
      <c r="E773" s="28"/>
      <c r="F773" s="28"/>
      <c r="G773" s="28"/>
    </row>
    <row r="774" spans="1:7" ht="12.75" x14ac:dyDescent="0.2">
      <c r="A774" s="28"/>
      <c r="B774" s="28"/>
      <c r="C774" s="28"/>
      <c r="D774" s="28"/>
      <c r="E774" s="28"/>
      <c r="F774" s="28"/>
      <c r="G774" s="28"/>
    </row>
    <row r="775" spans="1:7" ht="12.75" x14ac:dyDescent="0.2">
      <c r="A775" s="28"/>
      <c r="B775" s="28"/>
      <c r="C775" s="28"/>
      <c r="D775" s="28"/>
      <c r="E775" s="28"/>
      <c r="F775" s="28"/>
      <c r="G775" s="28"/>
    </row>
    <row r="776" spans="1:7" ht="12.75" x14ac:dyDescent="0.2">
      <c r="A776" s="28"/>
      <c r="B776" s="28"/>
      <c r="C776" s="28"/>
      <c r="D776" s="28"/>
      <c r="E776" s="28"/>
      <c r="F776" s="28"/>
      <c r="G776" s="28"/>
    </row>
    <row r="777" spans="1:7" ht="12.75" x14ac:dyDescent="0.2">
      <c r="A777" s="28"/>
      <c r="B777" s="28"/>
      <c r="C777" s="28"/>
      <c r="D777" s="28"/>
      <c r="E777" s="28"/>
      <c r="F777" s="28"/>
      <c r="G777" s="28"/>
    </row>
    <row r="778" spans="1:7" ht="12.75" x14ac:dyDescent="0.2">
      <c r="A778" s="28"/>
      <c r="B778" s="28"/>
      <c r="C778" s="28"/>
      <c r="D778" s="28"/>
      <c r="E778" s="28"/>
      <c r="F778" s="28"/>
      <c r="G778" s="28"/>
    </row>
    <row r="779" spans="1:7" ht="12.75" x14ac:dyDescent="0.2">
      <c r="A779" s="28"/>
      <c r="B779" s="28"/>
      <c r="C779" s="28"/>
      <c r="D779" s="28"/>
      <c r="E779" s="28"/>
      <c r="F779" s="28"/>
      <c r="G779" s="28"/>
    </row>
    <row r="780" spans="1:7" ht="12.75" x14ac:dyDescent="0.2">
      <c r="A780" s="28"/>
      <c r="B780" s="28"/>
      <c r="C780" s="28"/>
      <c r="D780" s="28"/>
      <c r="E780" s="28"/>
      <c r="F780" s="28"/>
      <c r="G780" s="28"/>
    </row>
    <row r="781" spans="1:7" ht="12.75" x14ac:dyDescent="0.2">
      <c r="A781" s="28"/>
      <c r="B781" s="28"/>
      <c r="C781" s="28"/>
      <c r="D781" s="28"/>
      <c r="E781" s="28"/>
      <c r="F781" s="28"/>
      <c r="G781" s="28"/>
    </row>
    <row r="782" spans="1:7" ht="12.75" x14ac:dyDescent="0.2">
      <c r="A782" s="28"/>
      <c r="B782" s="28"/>
      <c r="C782" s="28"/>
      <c r="D782" s="28"/>
      <c r="E782" s="28"/>
      <c r="F782" s="28"/>
      <c r="G782" s="28"/>
    </row>
    <row r="783" spans="1:7" ht="12.75" x14ac:dyDescent="0.2">
      <c r="A783" s="28"/>
      <c r="B783" s="28"/>
      <c r="C783" s="28"/>
      <c r="D783" s="28"/>
      <c r="E783" s="28"/>
      <c r="F783" s="28"/>
      <c r="G783" s="28"/>
    </row>
    <row r="784" spans="1:7" ht="12.75" x14ac:dyDescent="0.2">
      <c r="A784" s="28"/>
      <c r="B784" s="28"/>
      <c r="C784" s="28"/>
      <c r="D784" s="28"/>
      <c r="E784" s="28"/>
      <c r="F784" s="28"/>
      <c r="G784" s="28"/>
    </row>
    <row r="785" spans="1:7" ht="12.75" x14ac:dyDescent="0.2">
      <c r="A785" s="28"/>
      <c r="B785" s="28"/>
      <c r="C785" s="28"/>
      <c r="D785" s="28"/>
      <c r="E785" s="28"/>
      <c r="F785" s="28"/>
      <c r="G785" s="28"/>
    </row>
    <row r="786" spans="1:7" ht="12.75" x14ac:dyDescent="0.2">
      <c r="A786" s="28"/>
      <c r="B786" s="28"/>
      <c r="C786" s="28"/>
      <c r="D786" s="28"/>
      <c r="E786" s="28"/>
      <c r="F786" s="28"/>
      <c r="G786" s="28"/>
    </row>
    <row r="787" spans="1:7" ht="12.75" x14ac:dyDescent="0.2">
      <c r="A787" s="28"/>
      <c r="B787" s="28"/>
      <c r="C787" s="28"/>
      <c r="D787" s="28"/>
      <c r="E787" s="28"/>
      <c r="F787" s="28"/>
      <c r="G787" s="28"/>
    </row>
    <row r="788" spans="1:7" ht="12.75" x14ac:dyDescent="0.2">
      <c r="A788" s="28"/>
      <c r="B788" s="28"/>
      <c r="C788" s="28"/>
      <c r="D788" s="28"/>
      <c r="E788" s="28"/>
      <c r="F788" s="28"/>
      <c r="G788" s="28"/>
    </row>
    <row r="789" spans="1:7" ht="12.75" x14ac:dyDescent="0.2">
      <c r="A789" s="28"/>
      <c r="B789" s="28"/>
      <c r="C789" s="28"/>
      <c r="D789" s="28"/>
      <c r="E789" s="28"/>
      <c r="F789" s="28"/>
      <c r="G789" s="28"/>
    </row>
    <row r="790" spans="1:7" ht="12.75" x14ac:dyDescent="0.2">
      <c r="A790" s="28"/>
      <c r="B790" s="28"/>
      <c r="C790" s="28"/>
      <c r="D790" s="28"/>
      <c r="E790" s="28"/>
      <c r="F790" s="28"/>
      <c r="G790" s="28"/>
    </row>
    <row r="791" spans="1:7" ht="12.75" x14ac:dyDescent="0.2">
      <c r="A791" s="28"/>
      <c r="B791" s="28"/>
      <c r="C791" s="28"/>
      <c r="D791" s="28"/>
      <c r="E791" s="28"/>
      <c r="F791" s="28"/>
      <c r="G791" s="28"/>
    </row>
    <row r="792" spans="1:7" ht="12.75" x14ac:dyDescent="0.2">
      <c r="A792" s="28"/>
      <c r="B792" s="28"/>
      <c r="C792" s="28"/>
      <c r="D792" s="28"/>
      <c r="E792" s="28"/>
      <c r="F792" s="28"/>
      <c r="G792" s="28"/>
    </row>
    <row r="793" spans="1:7" ht="12.75" x14ac:dyDescent="0.2">
      <c r="A793" s="28"/>
      <c r="B793" s="28"/>
      <c r="C793" s="28"/>
      <c r="D793" s="28"/>
      <c r="E793" s="28"/>
      <c r="F793" s="28"/>
      <c r="G793" s="28"/>
    </row>
    <row r="794" spans="1:7" ht="12.75" x14ac:dyDescent="0.2">
      <c r="A794" s="28"/>
      <c r="B794" s="28"/>
      <c r="C794" s="28"/>
      <c r="D794" s="28"/>
      <c r="E794" s="28"/>
      <c r="F794" s="28"/>
      <c r="G794" s="28"/>
    </row>
    <row r="795" spans="1:7" ht="12.75" x14ac:dyDescent="0.2">
      <c r="A795" s="28"/>
      <c r="B795" s="28"/>
      <c r="C795" s="28"/>
      <c r="D795" s="28"/>
      <c r="E795" s="28"/>
      <c r="F795" s="28"/>
      <c r="G795" s="28"/>
    </row>
    <row r="796" spans="1:7" ht="12.75" x14ac:dyDescent="0.2">
      <c r="A796" s="28"/>
      <c r="B796" s="28"/>
      <c r="C796" s="28"/>
      <c r="D796" s="28"/>
      <c r="E796" s="28"/>
      <c r="F796" s="28"/>
      <c r="G796" s="28"/>
    </row>
    <row r="797" spans="1:7" ht="12.75" x14ac:dyDescent="0.2">
      <c r="A797" s="28"/>
      <c r="B797" s="28"/>
      <c r="C797" s="28"/>
      <c r="D797" s="28"/>
      <c r="E797" s="28"/>
      <c r="F797" s="28"/>
      <c r="G797" s="28"/>
    </row>
    <row r="798" spans="1:7" ht="12.75" x14ac:dyDescent="0.2">
      <c r="A798" s="28"/>
      <c r="B798" s="28"/>
      <c r="C798" s="28"/>
      <c r="D798" s="28"/>
      <c r="E798" s="28"/>
      <c r="F798" s="28"/>
      <c r="G798" s="28"/>
    </row>
    <row r="799" spans="1:7" ht="12.75" x14ac:dyDescent="0.2">
      <c r="A799" s="28"/>
      <c r="B799" s="28"/>
      <c r="C799" s="28"/>
      <c r="D799" s="28"/>
      <c r="E799" s="28"/>
      <c r="F799" s="28"/>
      <c r="G799" s="28"/>
    </row>
    <row r="800" spans="1:7" ht="12.75" x14ac:dyDescent="0.2">
      <c r="A800" s="28"/>
      <c r="B800" s="28"/>
      <c r="C800" s="28"/>
      <c r="D800" s="28"/>
      <c r="E800" s="28"/>
      <c r="F800" s="28"/>
      <c r="G800" s="28"/>
    </row>
    <row r="801" spans="1:7" ht="12.75" x14ac:dyDescent="0.2">
      <c r="A801" s="28"/>
      <c r="B801" s="28"/>
      <c r="C801" s="28"/>
      <c r="D801" s="28"/>
      <c r="E801" s="28"/>
      <c r="F801" s="28"/>
      <c r="G801" s="28"/>
    </row>
    <row r="802" spans="1:7" ht="12.75" x14ac:dyDescent="0.2">
      <c r="A802" s="28"/>
      <c r="B802" s="28"/>
      <c r="C802" s="28"/>
      <c r="D802" s="28"/>
      <c r="E802" s="28"/>
      <c r="F802" s="28"/>
      <c r="G802" s="28"/>
    </row>
    <row r="803" spans="1:7" ht="12.75" x14ac:dyDescent="0.2">
      <c r="A803" s="28"/>
      <c r="B803" s="28"/>
      <c r="C803" s="28"/>
      <c r="D803" s="28"/>
      <c r="E803" s="28"/>
      <c r="F803" s="28"/>
      <c r="G803" s="28"/>
    </row>
    <row r="804" spans="1:7" ht="12.75" x14ac:dyDescent="0.2">
      <c r="A804" s="28"/>
      <c r="B804" s="28"/>
      <c r="C804" s="28"/>
      <c r="D804" s="28"/>
      <c r="E804" s="28"/>
      <c r="F804" s="28"/>
      <c r="G804" s="28"/>
    </row>
    <row r="805" spans="1:7" ht="12.75" x14ac:dyDescent="0.2">
      <c r="A805" s="28"/>
      <c r="B805" s="28"/>
      <c r="C805" s="28"/>
      <c r="D805" s="28"/>
      <c r="E805" s="28"/>
      <c r="F805" s="28"/>
      <c r="G805" s="28"/>
    </row>
    <row r="806" spans="1:7" ht="12.75" x14ac:dyDescent="0.2">
      <c r="A806" s="28"/>
      <c r="B806" s="28"/>
      <c r="C806" s="28"/>
      <c r="D806" s="28"/>
      <c r="E806" s="28"/>
      <c r="F806" s="28"/>
      <c r="G806" s="28"/>
    </row>
    <row r="807" spans="1:7" ht="12.75" x14ac:dyDescent="0.2">
      <c r="A807" s="28"/>
      <c r="B807" s="28"/>
      <c r="C807" s="28"/>
      <c r="D807" s="28"/>
      <c r="E807" s="28"/>
      <c r="F807" s="28"/>
      <c r="G807" s="28"/>
    </row>
    <row r="808" spans="1:7" ht="12.75" x14ac:dyDescent="0.2">
      <c r="A808" s="28"/>
      <c r="B808" s="28"/>
      <c r="C808" s="28"/>
      <c r="D808" s="28"/>
      <c r="E808" s="28"/>
      <c r="F808" s="28"/>
      <c r="G808" s="28"/>
    </row>
    <row r="809" spans="1:7" ht="12.75" x14ac:dyDescent="0.2">
      <c r="A809" s="28"/>
      <c r="B809" s="28"/>
      <c r="C809" s="28"/>
      <c r="D809" s="28"/>
      <c r="E809" s="28"/>
      <c r="F809" s="28"/>
      <c r="G809" s="28"/>
    </row>
    <row r="810" spans="1:7" ht="12.75" x14ac:dyDescent="0.2">
      <c r="A810" s="28"/>
      <c r="B810" s="28"/>
      <c r="C810" s="28"/>
      <c r="D810" s="28"/>
      <c r="E810" s="28"/>
      <c r="F810" s="28"/>
      <c r="G810" s="28"/>
    </row>
    <row r="811" spans="1:7" ht="12.75" x14ac:dyDescent="0.2">
      <c r="A811" s="28"/>
      <c r="B811" s="28"/>
      <c r="C811" s="28"/>
      <c r="D811" s="28"/>
      <c r="E811" s="28"/>
      <c r="F811" s="28"/>
      <c r="G811" s="28"/>
    </row>
    <row r="812" spans="1:7" ht="12.75" x14ac:dyDescent="0.2">
      <c r="A812" s="28"/>
      <c r="B812" s="28"/>
      <c r="C812" s="28"/>
      <c r="D812" s="28"/>
      <c r="E812" s="28"/>
      <c r="F812" s="28"/>
      <c r="G812" s="28"/>
    </row>
    <row r="813" spans="1:7" ht="12.75" x14ac:dyDescent="0.2">
      <c r="A813" s="28"/>
      <c r="B813" s="28"/>
      <c r="C813" s="28"/>
      <c r="D813" s="28"/>
      <c r="E813" s="28"/>
      <c r="F813" s="28"/>
      <c r="G813" s="28"/>
    </row>
    <row r="814" spans="1:7" ht="12.75" x14ac:dyDescent="0.2">
      <c r="A814" s="28"/>
      <c r="B814" s="28"/>
      <c r="C814" s="28"/>
      <c r="D814" s="28"/>
      <c r="E814" s="28"/>
      <c r="F814" s="28"/>
      <c r="G814" s="28"/>
    </row>
    <row r="815" spans="1:7" ht="12.75" x14ac:dyDescent="0.2">
      <c r="A815" s="28"/>
      <c r="B815" s="28"/>
      <c r="C815" s="28"/>
      <c r="D815" s="28"/>
      <c r="E815" s="28"/>
      <c r="F815" s="28"/>
      <c r="G815" s="28"/>
    </row>
    <row r="816" spans="1:7" ht="12.75" x14ac:dyDescent="0.2">
      <c r="A816" s="28"/>
      <c r="B816" s="28"/>
      <c r="C816" s="28"/>
      <c r="D816" s="28"/>
      <c r="E816" s="28"/>
      <c r="F816" s="28"/>
      <c r="G816" s="28"/>
    </row>
    <row r="817" spans="1:7" ht="12.75" x14ac:dyDescent="0.2">
      <c r="A817" s="28"/>
      <c r="B817" s="28"/>
      <c r="C817" s="28"/>
      <c r="D817" s="28"/>
      <c r="E817" s="28"/>
      <c r="F817" s="28"/>
      <c r="G817" s="28"/>
    </row>
    <row r="818" spans="1:7" ht="12.75" x14ac:dyDescent="0.2">
      <c r="A818" s="28"/>
      <c r="B818" s="28"/>
      <c r="C818" s="28"/>
      <c r="D818" s="28"/>
      <c r="E818" s="28"/>
      <c r="F818" s="28"/>
      <c r="G818" s="28"/>
    </row>
    <row r="819" spans="1:7" ht="12.75" x14ac:dyDescent="0.2">
      <c r="A819" s="28"/>
      <c r="B819" s="28"/>
      <c r="C819" s="28"/>
      <c r="D819" s="28"/>
      <c r="E819" s="28"/>
      <c r="F819" s="28"/>
      <c r="G819" s="28"/>
    </row>
    <row r="820" spans="1:7" ht="12.75" x14ac:dyDescent="0.2">
      <c r="A820" s="28"/>
      <c r="B820" s="28"/>
      <c r="C820" s="28"/>
      <c r="D820" s="28"/>
      <c r="E820" s="28"/>
      <c r="F820" s="28"/>
      <c r="G820" s="28"/>
    </row>
    <row r="821" spans="1:7" ht="12.75" x14ac:dyDescent="0.2">
      <c r="A821" s="28"/>
      <c r="B821" s="28"/>
      <c r="C821" s="28"/>
      <c r="D821" s="28"/>
      <c r="E821" s="28"/>
      <c r="F821" s="28"/>
      <c r="G821" s="28"/>
    </row>
    <row r="822" spans="1:7" ht="12.75" x14ac:dyDescent="0.2">
      <c r="A822" s="28"/>
      <c r="B822" s="28"/>
      <c r="C822" s="28"/>
      <c r="D822" s="28"/>
      <c r="E822" s="28"/>
      <c r="F822" s="28"/>
      <c r="G822" s="28"/>
    </row>
    <row r="823" spans="1:7" ht="12.75" x14ac:dyDescent="0.2">
      <c r="A823" s="28"/>
      <c r="B823" s="28"/>
      <c r="C823" s="28"/>
      <c r="D823" s="28"/>
      <c r="E823" s="28"/>
      <c r="F823" s="28"/>
      <c r="G823" s="28"/>
    </row>
    <row r="824" spans="1:7" ht="12.75" x14ac:dyDescent="0.2">
      <c r="A824" s="28"/>
      <c r="B824" s="28"/>
      <c r="C824" s="28"/>
      <c r="D824" s="28"/>
      <c r="E824" s="28"/>
      <c r="F824" s="28"/>
      <c r="G824" s="28"/>
    </row>
    <row r="825" spans="1:7" ht="12.75" x14ac:dyDescent="0.2">
      <c r="A825" s="28"/>
      <c r="B825" s="28"/>
      <c r="C825" s="28"/>
      <c r="D825" s="28"/>
      <c r="E825" s="28"/>
      <c r="F825" s="28"/>
      <c r="G825" s="28"/>
    </row>
    <row r="826" spans="1:7" ht="12.75" x14ac:dyDescent="0.2">
      <c r="A826" s="28"/>
      <c r="B826" s="28"/>
      <c r="C826" s="28"/>
      <c r="D826" s="28"/>
      <c r="E826" s="28"/>
      <c r="F826" s="28"/>
      <c r="G826" s="28"/>
    </row>
    <row r="827" spans="1:7" ht="12.75" x14ac:dyDescent="0.2">
      <c r="A827" s="28"/>
      <c r="B827" s="28"/>
      <c r="C827" s="28"/>
      <c r="D827" s="28"/>
      <c r="E827" s="28"/>
      <c r="F827" s="28"/>
      <c r="G827" s="28"/>
    </row>
    <row r="828" spans="1:7" ht="12.75" x14ac:dyDescent="0.2">
      <c r="A828" s="28"/>
      <c r="B828" s="28"/>
      <c r="C828" s="28"/>
      <c r="D828" s="28"/>
      <c r="E828" s="28"/>
      <c r="F828" s="28"/>
      <c r="G828" s="28"/>
    </row>
    <row r="829" spans="1:7" ht="12.75" x14ac:dyDescent="0.2">
      <c r="A829" s="28"/>
      <c r="B829" s="28"/>
      <c r="C829" s="28"/>
      <c r="D829" s="28"/>
      <c r="E829" s="28"/>
      <c r="F829" s="28"/>
      <c r="G829" s="28"/>
    </row>
    <row r="830" spans="1:7" ht="12.75" x14ac:dyDescent="0.2">
      <c r="A830" s="28"/>
      <c r="B830" s="28"/>
      <c r="C830" s="28"/>
      <c r="D830" s="28"/>
      <c r="E830" s="28"/>
      <c r="F830" s="28"/>
      <c r="G830" s="28"/>
    </row>
    <row r="831" spans="1:7" ht="12.75" x14ac:dyDescent="0.2">
      <c r="A831" s="28"/>
      <c r="B831" s="28"/>
      <c r="C831" s="28"/>
      <c r="D831" s="28"/>
      <c r="E831" s="28"/>
      <c r="F831" s="28"/>
      <c r="G831" s="28"/>
    </row>
    <row r="832" spans="1:7" ht="12.75" x14ac:dyDescent="0.2">
      <c r="A832" s="28"/>
      <c r="B832" s="28"/>
      <c r="C832" s="28"/>
      <c r="D832" s="28"/>
      <c r="E832" s="28"/>
      <c r="F832" s="28"/>
      <c r="G832" s="28"/>
    </row>
    <row r="833" spans="1:7" ht="12.75" x14ac:dyDescent="0.2">
      <c r="A833" s="28"/>
      <c r="B833" s="28"/>
      <c r="C833" s="28"/>
      <c r="D833" s="28"/>
      <c r="E833" s="28"/>
      <c r="F833" s="28"/>
      <c r="G833" s="28"/>
    </row>
    <row r="834" spans="1:7" ht="12.75" x14ac:dyDescent="0.2">
      <c r="A834" s="28"/>
      <c r="B834" s="28"/>
      <c r="C834" s="28"/>
      <c r="D834" s="28"/>
      <c r="E834" s="28"/>
      <c r="F834" s="28"/>
      <c r="G834" s="28"/>
    </row>
    <row r="835" spans="1:7" ht="12.75" x14ac:dyDescent="0.2">
      <c r="A835" s="28"/>
      <c r="B835" s="28"/>
      <c r="C835" s="28"/>
      <c r="D835" s="28"/>
      <c r="E835" s="28"/>
      <c r="F835" s="28"/>
      <c r="G835" s="28"/>
    </row>
    <row r="836" spans="1:7" ht="12.75" x14ac:dyDescent="0.2">
      <c r="A836" s="28"/>
      <c r="B836" s="28"/>
      <c r="C836" s="28"/>
      <c r="D836" s="28"/>
      <c r="E836" s="28"/>
      <c r="F836" s="28"/>
      <c r="G836" s="28"/>
    </row>
    <row r="837" spans="1:7" ht="12.75" x14ac:dyDescent="0.2">
      <c r="A837" s="28"/>
      <c r="B837" s="28"/>
      <c r="C837" s="28"/>
      <c r="D837" s="28"/>
      <c r="E837" s="28"/>
      <c r="F837" s="28"/>
      <c r="G837" s="28"/>
    </row>
    <row r="838" spans="1:7" ht="12.75" x14ac:dyDescent="0.2">
      <c r="A838" s="28"/>
      <c r="B838" s="28"/>
      <c r="C838" s="28"/>
      <c r="D838" s="28"/>
      <c r="E838" s="28"/>
      <c r="F838" s="28"/>
      <c r="G838" s="28"/>
    </row>
    <row r="839" spans="1:7" ht="12.75" x14ac:dyDescent="0.2">
      <c r="A839" s="28"/>
      <c r="B839" s="28"/>
      <c r="C839" s="28"/>
      <c r="D839" s="28"/>
      <c r="E839" s="28"/>
      <c r="F839" s="28"/>
      <c r="G839" s="28"/>
    </row>
    <row r="840" spans="1:7" ht="12.75" x14ac:dyDescent="0.2">
      <c r="A840" s="28"/>
      <c r="B840" s="28"/>
      <c r="C840" s="28"/>
      <c r="D840" s="28"/>
      <c r="E840" s="28"/>
      <c r="F840" s="28"/>
      <c r="G840" s="28"/>
    </row>
    <row r="841" spans="1:7" ht="12.75" x14ac:dyDescent="0.2">
      <c r="A841" s="28"/>
      <c r="B841" s="28"/>
      <c r="C841" s="28"/>
      <c r="D841" s="28"/>
      <c r="E841" s="28"/>
      <c r="F841" s="28"/>
      <c r="G841" s="28"/>
    </row>
    <row r="842" spans="1:7" ht="12.75" x14ac:dyDescent="0.2">
      <c r="A842" s="28"/>
      <c r="B842" s="28"/>
      <c r="C842" s="28"/>
      <c r="D842" s="28"/>
      <c r="E842" s="28"/>
      <c r="F842" s="28"/>
      <c r="G842" s="28"/>
    </row>
    <row r="843" spans="1:7" ht="12.75" x14ac:dyDescent="0.2">
      <c r="A843" s="28"/>
      <c r="B843" s="28"/>
      <c r="C843" s="28"/>
      <c r="D843" s="28"/>
      <c r="E843" s="28"/>
      <c r="F843" s="28"/>
      <c r="G843" s="28"/>
    </row>
    <row r="844" spans="1:7" ht="12.75" x14ac:dyDescent="0.2">
      <c r="A844" s="28"/>
      <c r="B844" s="28"/>
      <c r="C844" s="28"/>
      <c r="D844" s="28"/>
      <c r="E844" s="28"/>
      <c r="F844" s="28"/>
      <c r="G844" s="28"/>
    </row>
    <row r="845" spans="1:7" ht="12.75" x14ac:dyDescent="0.2">
      <c r="A845" s="28"/>
      <c r="B845" s="28"/>
      <c r="C845" s="28"/>
      <c r="D845" s="28"/>
      <c r="E845" s="28"/>
      <c r="F845" s="28"/>
      <c r="G845" s="28"/>
    </row>
    <row r="846" spans="1:7" ht="12.75" x14ac:dyDescent="0.2">
      <c r="A846" s="28"/>
      <c r="B846" s="28"/>
      <c r="C846" s="28"/>
      <c r="D846" s="28"/>
      <c r="E846" s="28"/>
      <c r="F846" s="28"/>
      <c r="G846" s="28"/>
    </row>
    <row r="847" spans="1:7" ht="12.75" x14ac:dyDescent="0.2">
      <c r="A847" s="28"/>
      <c r="B847" s="28"/>
      <c r="C847" s="28"/>
      <c r="D847" s="28"/>
      <c r="E847" s="28"/>
      <c r="F847" s="28"/>
      <c r="G847" s="28"/>
    </row>
    <row r="848" spans="1:7" ht="12.75" x14ac:dyDescent="0.2">
      <c r="A848" s="28"/>
      <c r="B848" s="28"/>
      <c r="C848" s="28"/>
      <c r="D848" s="28"/>
      <c r="E848" s="28"/>
      <c r="F848" s="28"/>
      <c r="G848" s="28"/>
    </row>
    <row r="849" spans="1:7" ht="12.75" x14ac:dyDescent="0.2">
      <c r="A849" s="28"/>
      <c r="B849" s="28"/>
      <c r="C849" s="28"/>
      <c r="D849" s="28"/>
      <c r="E849" s="28"/>
      <c r="F849" s="28"/>
      <c r="G849" s="28"/>
    </row>
    <row r="850" spans="1:7" ht="12.75" x14ac:dyDescent="0.2">
      <c r="A850" s="28"/>
      <c r="B850" s="28"/>
      <c r="C850" s="28"/>
      <c r="D850" s="28"/>
      <c r="E850" s="28"/>
      <c r="F850" s="28"/>
      <c r="G850" s="28"/>
    </row>
    <row r="851" spans="1:7" ht="12.75" x14ac:dyDescent="0.2">
      <c r="A851" s="28"/>
      <c r="B851" s="28"/>
      <c r="C851" s="28"/>
      <c r="D851" s="28"/>
      <c r="E851" s="28"/>
      <c r="F851" s="28"/>
      <c r="G851" s="28"/>
    </row>
    <row r="852" spans="1:7" ht="12.75" x14ac:dyDescent="0.2">
      <c r="A852" s="28"/>
      <c r="B852" s="28"/>
      <c r="C852" s="28"/>
      <c r="D852" s="28"/>
      <c r="E852" s="28"/>
      <c r="F852" s="28"/>
      <c r="G852" s="28"/>
    </row>
    <row r="853" spans="1:7" ht="12.75" x14ac:dyDescent="0.2">
      <c r="A853" s="28"/>
      <c r="B853" s="28"/>
      <c r="C853" s="28"/>
      <c r="D853" s="28"/>
      <c r="E853" s="28"/>
      <c r="F853" s="28"/>
      <c r="G853" s="28"/>
    </row>
    <row r="854" spans="1:7" ht="12.75" x14ac:dyDescent="0.2">
      <c r="A854" s="28"/>
      <c r="B854" s="28"/>
      <c r="C854" s="28"/>
      <c r="D854" s="28"/>
      <c r="E854" s="28"/>
      <c r="F854" s="28"/>
      <c r="G854" s="28"/>
    </row>
    <row r="855" spans="1:7" ht="12.75" x14ac:dyDescent="0.2">
      <c r="A855" s="28"/>
      <c r="B855" s="28"/>
      <c r="C855" s="28"/>
      <c r="D855" s="28"/>
      <c r="E855" s="28"/>
      <c r="F855" s="28"/>
      <c r="G855" s="28"/>
    </row>
    <row r="856" spans="1:7" ht="12.75" x14ac:dyDescent="0.2">
      <c r="A856" s="28"/>
      <c r="B856" s="28"/>
      <c r="C856" s="28"/>
      <c r="D856" s="28"/>
      <c r="E856" s="28"/>
      <c r="F856" s="28"/>
      <c r="G856" s="28"/>
    </row>
    <row r="857" spans="1:7" ht="12.75" x14ac:dyDescent="0.2">
      <c r="A857" s="28"/>
      <c r="B857" s="28"/>
      <c r="C857" s="28"/>
      <c r="D857" s="28"/>
      <c r="E857" s="28"/>
      <c r="F857" s="28"/>
      <c r="G857" s="28"/>
    </row>
    <row r="858" spans="1:7" ht="12.75" x14ac:dyDescent="0.2">
      <c r="A858" s="28"/>
      <c r="B858" s="28"/>
      <c r="C858" s="28"/>
      <c r="D858" s="28"/>
      <c r="E858" s="28"/>
      <c r="F858" s="28"/>
      <c r="G858" s="28"/>
    </row>
    <row r="859" spans="1:7" ht="12.75" x14ac:dyDescent="0.2">
      <c r="A859" s="28"/>
      <c r="B859" s="28"/>
      <c r="C859" s="28"/>
      <c r="D859" s="28"/>
      <c r="E859" s="28"/>
      <c r="F859" s="28"/>
      <c r="G859" s="28"/>
    </row>
    <row r="860" spans="1:7" ht="12.75" x14ac:dyDescent="0.2">
      <c r="A860" s="28"/>
      <c r="B860" s="28"/>
      <c r="C860" s="28"/>
      <c r="D860" s="28"/>
      <c r="E860" s="28"/>
      <c r="F860" s="28"/>
      <c r="G860" s="28"/>
    </row>
    <row r="861" spans="1:7" ht="12.75" x14ac:dyDescent="0.2">
      <c r="A861" s="28"/>
      <c r="B861" s="28"/>
      <c r="C861" s="28"/>
      <c r="D861" s="28"/>
      <c r="E861" s="28"/>
      <c r="F861" s="28"/>
      <c r="G861" s="28"/>
    </row>
    <row r="862" spans="1:7" ht="12.75" x14ac:dyDescent="0.2">
      <c r="A862" s="28"/>
      <c r="B862" s="28"/>
      <c r="C862" s="28"/>
      <c r="D862" s="28"/>
      <c r="E862" s="28"/>
      <c r="F862" s="28"/>
      <c r="G862" s="28"/>
    </row>
    <row r="863" spans="1:7" ht="12.75" x14ac:dyDescent="0.2">
      <c r="A863" s="28"/>
      <c r="B863" s="28"/>
      <c r="C863" s="28"/>
      <c r="D863" s="28"/>
      <c r="E863" s="28"/>
      <c r="F863" s="28"/>
      <c r="G863" s="28"/>
    </row>
    <row r="864" spans="1:7" ht="12.75" x14ac:dyDescent="0.2">
      <c r="A864" s="28"/>
      <c r="B864" s="28"/>
      <c r="C864" s="28"/>
      <c r="D864" s="28"/>
      <c r="E864" s="28"/>
      <c r="F864" s="28"/>
      <c r="G864" s="28"/>
    </row>
    <row r="865" spans="1:7" ht="12.75" x14ac:dyDescent="0.2">
      <c r="A865" s="28"/>
      <c r="B865" s="28"/>
      <c r="C865" s="28"/>
      <c r="D865" s="28"/>
      <c r="E865" s="28"/>
      <c r="F865" s="28"/>
      <c r="G865" s="28"/>
    </row>
    <row r="866" spans="1:7" ht="12.75" x14ac:dyDescent="0.2">
      <c r="A866" s="28"/>
      <c r="B866" s="28"/>
      <c r="C866" s="28"/>
      <c r="D866" s="28"/>
      <c r="E866" s="28"/>
      <c r="F866" s="28"/>
      <c r="G866" s="28"/>
    </row>
    <row r="867" spans="1:7" ht="12.75" x14ac:dyDescent="0.2">
      <c r="A867" s="28"/>
      <c r="B867" s="28"/>
      <c r="C867" s="28"/>
      <c r="D867" s="28"/>
      <c r="E867" s="28"/>
      <c r="F867" s="28"/>
      <c r="G867" s="28"/>
    </row>
    <row r="868" spans="1:7" ht="12.75" x14ac:dyDescent="0.2">
      <c r="A868" s="28"/>
      <c r="B868" s="28"/>
      <c r="C868" s="28"/>
      <c r="D868" s="28"/>
      <c r="E868" s="28"/>
      <c r="F868" s="28"/>
      <c r="G868" s="28"/>
    </row>
    <row r="869" spans="1:7" ht="12.75" x14ac:dyDescent="0.2">
      <c r="A869" s="28"/>
      <c r="B869" s="28"/>
      <c r="C869" s="28"/>
      <c r="D869" s="28"/>
      <c r="E869" s="28"/>
      <c r="F869" s="28"/>
      <c r="G869" s="28"/>
    </row>
    <row r="870" spans="1:7" ht="12.75" x14ac:dyDescent="0.2">
      <c r="A870" s="28"/>
      <c r="B870" s="28"/>
      <c r="C870" s="28"/>
      <c r="D870" s="28"/>
      <c r="E870" s="28"/>
      <c r="F870" s="28"/>
      <c r="G870" s="28"/>
    </row>
    <row r="871" spans="1:7" ht="12.75" x14ac:dyDescent="0.2">
      <c r="A871" s="28"/>
      <c r="B871" s="28"/>
      <c r="C871" s="28"/>
      <c r="D871" s="28"/>
      <c r="E871" s="28"/>
      <c r="F871" s="28"/>
      <c r="G871" s="28"/>
    </row>
    <row r="872" spans="1:7" ht="12.75" x14ac:dyDescent="0.2">
      <c r="A872" s="28"/>
      <c r="B872" s="28"/>
      <c r="C872" s="28"/>
      <c r="D872" s="28"/>
      <c r="E872" s="28"/>
      <c r="F872" s="28"/>
      <c r="G872" s="28"/>
    </row>
    <row r="873" spans="1:7" ht="12.75" x14ac:dyDescent="0.2">
      <c r="A873" s="28"/>
      <c r="B873" s="28"/>
      <c r="C873" s="28"/>
      <c r="D873" s="28"/>
      <c r="E873" s="28"/>
      <c r="F873" s="28"/>
      <c r="G873" s="28"/>
    </row>
    <row r="874" spans="1:7" ht="12.75" x14ac:dyDescent="0.2">
      <c r="A874" s="28"/>
      <c r="B874" s="28"/>
      <c r="C874" s="28"/>
      <c r="D874" s="28"/>
      <c r="E874" s="28"/>
      <c r="F874" s="28"/>
      <c r="G874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T1000"/>
  <sheetViews>
    <sheetView workbookViewId="0">
      <selection activeCell="B1" sqref="B1"/>
    </sheetView>
  </sheetViews>
  <sheetFormatPr defaultColWidth="14.42578125" defaultRowHeight="15.75" customHeight="1" x14ac:dyDescent="0.2"/>
  <cols>
    <col min="1" max="1" width="10.42578125" style="2" customWidth="1"/>
    <col min="2" max="2" width="21.28515625" style="2" customWidth="1"/>
    <col min="3" max="3" width="12.85546875" style="2" bestFit="1" customWidth="1"/>
    <col min="4" max="4" width="12.28515625" style="2" bestFit="1" customWidth="1"/>
    <col min="5" max="5" width="6.7109375" style="2" bestFit="1" customWidth="1"/>
    <col min="6" max="6" width="8.42578125" style="2" bestFit="1" customWidth="1"/>
    <col min="7" max="7" width="12.85546875" style="2" bestFit="1" customWidth="1"/>
    <col min="8" max="8" width="40.7109375" style="2" customWidth="1"/>
    <col min="9" max="9" width="20.140625" style="2" customWidth="1"/>
    <col min="10" max="10" width="16.42578125" style="2" bestFit="1" customWidth="1"/>
    <col min="11" max="16384" width="14.42578125" style="2"/>
  </cols>
  <sheetData>
    <row r="1" spans="1:20" s="48" customFormat="1" ht="15.75" customHeight="1" x14ac:dyDescent="0.2">
      <c r="A1" s="46" t="s">
        <v>199</v>
      </c>
      <c r="B1" s="46" t="s">
        <v>200</v>
      </c>
      <c r="C1" s="46" t="s">
        <v>201</v>
      </c>
      <c r="D1" s="46" t="s">
        <v>202</v>
      </c>
      <c r="E1" s="46" t="s">
        <v>203</v>
      </c>
      <c r="F1" s="46" t="s">
        <v>204</v>
      </c>
      <c r="G1" s="46" t="s">
        <v>205</v>
      </c>
      <c r="H1" s="46" t="s">
        <v>206</v>
      </c>
      <c r="I1" s="46" t="s">
        <v>207</v>
      </c>
      <c r="J1" s="46" t="s">
        <v>384</v>
      </c>
      <c r="K1" s="47"/>
      <c r="L1" s="47"/>
      <c r="M1" s="47"/>
      <c r="N1" s="47"/>
      <c r="O1" s="47"/>
      <c r="P1" s="47"/>
      <c r="Q1" s="47"/>
      <c r="R1" s="47"/>
      <c r="S1" s="47"/>
      <c r="T1" s="47"/>
    </row>
    <row r="2" spans="1:20" ht="15.75" customHeight="1" x14ac:dyDescent="0.2">
      <c r="A2" s="11"/>
      <c r="B2" s="12"/>
      <c r="C2" s="12"/>
      <c r="D2" s="11"/>
      <c r="E2" s="17"/>
      <c r="F2" s="12"/>
      <c r="G2" s="12"/>
      <c r="H2" s="12"/>
      <c r="I2" s="12"/>
      <c r="J2" s="17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15.75" customHeight="1" x14ac:dyDescent="0.2">
      <c r="A3" s="11"/>
      <c r="B3" s="12"/>
      <c r="C3" s="12"/>
      <c r="D3" s="11"/>
      <c r="E3" s="17"/>
      <c r="F3" s="12"/>
      <c r="G3" s="12"/>
      <c r="H3" s="12"/>
      <c r="I3" s="12"/>
      <c r="J3" s="17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ht="15.75" customHeight="1" x14ac:dyDescent="0.2">
      <c r="A4" s="11"/>
      <c r="B4" s="12"/>
      <c r="C4" s="12"/>
      <c r="D4" s="11"/>
      <c r="E4" s="17"/>
      <c r="F4" s="12"/>
      <c r="G4" s="12"/>
      <c r="H4" s="12"/>
      <c r="I4" s="12"/>
      <c r="J4" s="17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5.75" customHeight="1" x14ac:dyDescent="0.2">
      <c r="A5" s="11"/>
      <c r="B5" s="12"/>
      <c r="C5" s="12"/>
      <c r="D5" s="11"/>
      <c r="E5" s="17"/>
      <c r="F5" s="12"/>
      <c r="G5" s="12"/>
      <c r="H5" s="12"/>
      <c r="I5" s="12"/>
      <c r="J5" s="17"/>
      <c r="K5" s="15"/>
      <c r="L5" s="15"/>
      <c r="M5" s="15"/>
      <c r="N5" s="15"/>
      <c r="O5" s="15"/>
      <c r="P5" s="15"/>
      <c r="Q5" s="15"/>
      <c r="R5" s="15"/>
      <c r="S5" s="15"/>
      <c r="T5" s="15"/>
    </row>
    <row r="6" spans="1:20" ht="15.75" customHeight="1" x14ac:dyDescent="0.2">
      <c r="A6" s="11"/>
      <c r="B6" s="12"/>
      <c r="C6" s="12"/>
      <c r="D6" s="11"/>
      <c r="E6" s="17"/>
      <c r="F6" s="12"/>
      <c r="G6" s="12"/>
      <c r="H6" s="12"/>
      <c r="I6" s="12"/>
      <c r="J6" s="17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20" ht="15.75" customHeight="1" x14ac:dyDescent="0.2">
      <c r="A7" s="11"/>
      <c r="B7" s="12"/>
      <c r="C7" s="12"/>
      <c r="D7" s="11"/>
      <c r="E7" s="17"/>
      <c r="F7" s="12"/>
      <c r="G7" s="12"/>
      <c r="H7" s="12"/>
      <c r="I7" s="12"/>
      <c r="J7" s="17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ht="15.75" customHeight="1" x14ac:dyDescent="0.2">
      <c r="A8" s="11"/>
      <c r="B8" s="12"/>
      <c r="C8" s="12"/>
      <c r="D8" s="11"/>
      <c r="E8" s="17"/>
      <c r="F8" s="12"/>
      <c r="G8" s="12"/>
      <c r="H8" s="12"/>
      <c r="I8" s="12"/>
      <c r="J8" s="17"/>
      <c r="K8" s="15"/>
      <c r="L8" s="15"/>
      <c r="M8" s="15"/>
      <c r="N8" s="15"/>
      <c r="O8" s="15"/>
      <c r="P8" s="15"/>
      <c r="Q8" s="15"/>
      <c r="R8" s="15"/>
      <c r="S8" s="15"/>
      <c r="T8" s="15"/>
    </row>
    <row r="9" spans="1:20" ht="15.75" customHeight="1" x14ac:dyDescent="0.2">
      <c r="A9" s="11"/>
      <c r="B9" s="12"/>
      <c r="C9" s="12"/>
      <c r="D9" s="11"/>
      <c r="E9" s="17"/>
      <c r="F9" s="12"/>
      <c r="G9" s="12"/>
      <c r="H9" s="12"/>
      <c r="I9" s="12"/>
      <c r="J9" s="17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0" ht="15.75" customHeight="1" x14ac:dyDescent="0.2">
      <c r="A10" s="11"/>
      <c r="B10" s="12"/>
      <c r="C10" s="12"/>
      <c r="D10" s="11"/>
      <c r="E10" s="17"/>
      <c r="F10" s="12"/>
      <c r="G10" s="12"/>
      <c r="H10" s="12"/>
      <c r="I10" s="12"/>
      <c r="J10" s="17"/>
      <c r="K10" s="15"/>
      <c r="L10" s="15"/>
      <c r="M10" s="15"/>
      <c r="N10" s="15"/>
      <c r="O10" s="15"/>
      <c r="P10" s="15"/>
      <c r="Q10" s="15"/>
      <c r="R10" s="15"/>
      <c r="S10" s="15"/>
      <c r="T10" s="15"/>
    </row>
    <row r="11" spans="1:20" ht="15.75" customHeight="1" x14ac:dyDescent="0.2">
      <c r="A11" s="11"/>
      <c r="B11" s="12"/>
      <c r="C11" s="12"/>
      <c r="D11" s="11"/>
      <c r="E11" s="17"/>
      <c r="F11" s="12"/>
      <c r="G11" s="12"/>
      <c r="H11" s="12"/>
      <c r="I11" s="12"/>
      <c r="J11" s="17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ht="15.75" customHeight="1" x14ac:dyDescent="0.2">
      <c r="A12" s="11"/>
      <c r="B12" s="12"/>
      <c r="C12" s="12"/>
      <c r="D12" s="11"/>
      <c r="E12" s="17"/>
      <c r="F12" s="12"/>
      <c r="G12" s="12"/>
      <c r="H12" s="12"/>
      <c r="I12" s="12"/>
      <c r="J12" s="17"/>
      <c r="K12" s="15"/>
      <c r="L12" s="15"/>
      <c r="M12" s="15"/>
      <c r="N12" s="15"/>
      <c r="O12" s="15"/>
      <c r="P12" s="15"/>
      <c r="Q12" s="15"/>
      <c r="R12" s="15"/>
      <c r="S12" s="15"/>
      <c r="T12" s="15"/>
    </row>
    <row r="13" spans="1:20" ht="15.75" customHeight="1" x14ac:dyDescent="0.2">
      <c r="A13" s="11"/>
      <c r="B13" s="12"/>
      <c r="C13" s="12"/>
      <c r="D13" s="11"/>
      <c r="E13" s="17"/>
      <c r="F13" s="12"/>
      <c r="G13" s="12"/>
      <c r="H13" s="12"/>
      <c r="I13" s="12"/>
      <c r="J13" s="17"/>
      <c r="K13" s="15"/>
      <c r="L13" s="15"/>
      <c r="M13" s="15"/>
      <c r="N13" s="15"/>
      <c r="O13" s="15"/>
      <c r="P13" s="15"/>
      <c r="Q13" s="15"/>
      <c r="R13" s="15"/>
      <c r="S13" s="15"/>
      <c r="T13" s="15"/>
    </row>
    <row r="14" spans="1:20" ht="15.75" customHeight="1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ht="15.75" customHeight="1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ht="15.75" customHeight="1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ht="15.7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</row>
    <row r="20" spans="1:20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1:20" ht="12.75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1:20" ht="12.75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ht="12.75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spans="1:20" ht="12.75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ht="12.75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2.75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ht="12.75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ht="12.75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ht="12.75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</row>
    <row r="30" spans="1:20" ht="12.75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</row>
    <row r="31" spans="1:20" ht="12.75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ht="12.75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20" ht="12.75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1:20" ht="12.75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</row>
    <row r="35" spans="1:20" ht="12.75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</row>
    <row r="36" spans="1:20" ht="12.75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</row>
    <row r="37" spans="1:20" ht="12.75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</row>
    <row r="38" spans="1:20" ht="12.75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2.75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  <row r="40" spans="1:20" ht="12.75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</row>
    <row r="41" spans="1:20" ht="12.75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</row>
    <row r="42" spans="1:20" ht="12.75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12.75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</row>
    <row r="44" spans="1:20" ht="12.75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</row>
    <row r="45" spans="1:20" ht="12.75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</row>
    <row r="46" spans="1:20" ht="12.75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</row>
    <row r="47" spans="1:20" ht="12.75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</row>
    <row r="48" spans="1:20" ht="12.75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</row>
    <row r="49" spans="1:20" ht="12.75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</row>
    <row r="50" spans="1:20" ht="12.7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</row>
    <row r="51" spans="1:20" ht="12.75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</row>
    <row r="52" spans="1:20" ht="12.75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spans="1:20" ht="12.75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</row>
    <row r="54" spans="1:20" ht="12.75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</row>
    <row r="55" spans="1:20" ht="12.75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  <row r="56" spans="1:20" ht="12.75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</row>
    <row r="57" spans="1:20" ht="12.75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</row>
    <row r="58" spans="1:20" ht="12.75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</row>
    <row r="59" spans="1:20" ht="12.75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</row>
    <row r="60" spans="1:20" ht="12.75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</row>
    <row r="61" spans="1:20" ht="12.75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spans="1:20" ht="12.75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</row>
    <row r="63" spans="1:20" ht="12.75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 ht="12.75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</row>
    <row r="65" spans="1:20" ht="12.75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</row>
    <row r="66" spans="1:20" ht="12.75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</row>
    <row r="67" spans="1:20" ht="12.75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</row>
    <row r="68" spans="1:20" ht="12.75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</row>
    <row r="69" spans="1:20" ht="12.75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</row>
    <row r="70" spans="1:20" ht="12.75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</row>
    <row r="71" spans="1:20" ht="12.75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</row>
    <row r="72" spans="1:20" ht="12.75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12.75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</row>
    <row r="74" spans="1:20" ht="12.75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</row>
    <row r="75" spans="1:20" ht="12.75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</row>
    <row r="76" spans="1:20" ht="12.75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</row>
    <row r="77" spans="1:20" ht="12.75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1:20" ht="12.75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</row>
    <row r="79" spans="1:20" ht="12.75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</row>
    <row r="80" spans="1:20" ht="12.75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</row>
    <row r="81" spans="1:20" ht="12.75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</row>
    <row r="82" spans="1:20" ht="12.75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</row>
    <row r="83" spans="1:20" ht="12.75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</row>
    <row r="84" spans="1:20" ht="12.75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</row>
    <row r="85" spans="1:20" ht="12.75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12.75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</row>
    <row r="87" spans="1:20" ht="12.75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</row>
    <row r="88" spans="1:20" ht="12.7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</row>
    <row r="89" spans="1:20" ht="12.75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ht="12.75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</row>
    <row r="91" spans="1:20" ht="12.75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</row>
    <row r="92" spans="1:20" ht="12.75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0" ht="12.75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 ht="12.75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</row>
    <row r="95" spans="1:20" ht="12.75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</row>
    <row r="96" spans="1:20" ht="12.75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</row>
    <row r="97" spans="1:20" ht="12.75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</row>
    <row r="98" spans="1:20" ht="12.75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</row>
    <row r="99" spans="1:20" ht="12.75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</row>
    <row r="100" spans="1:20" ht="12.75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</row>
    <row r="101" spans="1:20" ht="12.75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</row>
    <row r="102" spans="1:20" ht="12.75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</row>
    <row r="103" spans="1:20" ht="12.75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</row>
    <row r="104" spans="1:20" ht="12.75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</row>
    <row r="105" spans="1:20" ht="12.75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</row>
    <row r="106" spans="1:20" ht="12.75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2.75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</row>
    <row r="108" spans="1:20" ht="12.75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1:20" ht="12.75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1:20" ht="12.75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</row>
    <row r="111" spans="1:20" ht="12.75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</row>
    <row r="112" spans="1:20" ht="12.75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</row>
    <row r="113" spans="1:20" ht="12.75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</row>
    <row r="114" spans="1:20" ht="12.75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</row>
    <row r="115" spans="1:20" ht="12.75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</row>
    <row r="116" spans="1:20" ht="12.75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</row>
    <row r="117" spans="1:20" ht="12.75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</row>
    <row r="118" spans="1:20" ht="12.75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</row>
    <row r="119" spans="1:20" ht="12.75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</row>
    <row r="120" spans="1:20" ht="12.75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</row>
    <row r="121" spans="1:20" ht="12.75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</row>
    <row r="122" spans="1:20" ht="12.75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</row>
    <row r="123" spans="1:20" ht="12.75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1:20" ht="12.75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spans="1:20" ht="12.75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</row>
    <row r="126" spans="1:20" ht="12.75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</row>
    <row r="127" spans="1:20" ht="12.75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</row>
    <row r="128" spans="1:20" ht="12.75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</row>
    <row r="129" spans="1:20" ht="12.75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</row>
    <row r="130" spans="1:20" ht="12.75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spans="1:20" ht="12.75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 spans="1:20" ht="12.75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</row>
    <row r="133" spans="1:20" ht="12.75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</row>
    <row r="134" spans="1:20" ht="12.75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</row>
    <row r="135" spans="1:20" ht="12.75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</row>
    <row r="136" spans="1:20" ht="12.75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spans="1:20" ht="12.75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</row>
    <row r="138" spans="1:20" ht="12.75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1:20" ht="12.75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</row>
    <row r="140" spans="1:20" ht="12.75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</row>
    <row r="141" spans="1:20" ht="12.75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</row>
    <row r="142" spans="1:20" ht="12.75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</row>
    <row r="143" spans="1:20" ht="12.75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 spans="1:20" ht="12.75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spans="1:20" ht="12.75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 spans="1:20" ht="12.75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</row>
    <row r="147" spans="1:20" ht="12.75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</row>
    <row r="148" spans="1:20" ht="12.75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</row>
    <row r="149" spans="1:20" ht="12.75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</row>
    <row r="150" spans="1:20" ht="12.75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1:20" ht="12.75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1:20" ht="12.75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spans="1:20" ht="12.75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</row>
    <row r="154" spans="1:20" ht="12.75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</row>
    <row r="155" spans="1:20" ht="12.75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</row>
    <row r="156" spans="1:20" ht="12.75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</row>
    <row r="157" spans="1:20" ht="12.75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</row>
    <row r="158" spans="1:20" ht="12.75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</row>
    <row r="159" spans="1:20" ht="12.75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</row>
    <row r="160" spans="1:20" ht="12.75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</row>
    <row r="161" spans="1:20" ht="12.75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</row>
    <row r="162" spans="1:20" ht="12.75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</row>
    <row r="163" spans="1:20" ht="12.75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</row>
    <row r="164" spans="1:20" ht="12.75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</row>
    <row r="165" spans="1:20" ht="12.75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</row>
    <row r="166" spans="1:20" ht="12.75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</row>
    <row r="167" spans="1:20" ht="12.75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</row>
    <row r="168" spans="1:20" ht="12.75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</row>
    <row r="169" spans="1:20" ht="12.75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</row>
    <row r="170" spans="1:20" ht="12.75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</row>
    <row r="171" spans="1:20" ht="12.75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</row>
    <row r="172" spans="1:20" ht="12.75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</row>
    <row r="173" spans="1:20" ht="12.75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</row>
    <row r="174" spans="1:20" ht="12.75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</row>
    <row r="175" spans="1:20" ht="12.75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</row>
    <row r="176" spans="1:20" ht="12.75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</row>
    <row r="177" spans="1:20" ht="12.75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</row>
    <row r="178" spans="1:20" ht="12.75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</row>
    <row r="179" spans="1:20" ht="12.75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</row>
    <row r="180" spans="1:20" ht="12.75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</row>
    <row r="181" spans="1:20" ht="12.75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</row>
    <row r="182" spans="1:20" ht="12.75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</row>
    <row r="183" spans="1:20" ht="12.75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</row>
    <row r="184" spans="1:20" ht="12.75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</row>
    <row r="185" spans="1:20" ht="12.75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</row>
    <row r="186" spans="1:20" ht="12.75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</row>
    <row r="187" spans="1:20" ht="12.75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</row>
    <row r="188" spans="1:20" ht="12.75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</row>
    <row r="189" spans="1:20" ht="12.75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</row>
    <row r="190" spans="1:20" ht="12.75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</row>
    <row r="191" spans="1:20" ht="12.75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</row>
    <row r="192" spans="1:20" ht="12.75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</row>
    <row r="193" spans="1:20" ht="12.75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</row>
    <row r="194" spans="1:20" ht="12.75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</row>
    <row r="195" spans="1:20" ht="12.75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</row>
    <row r="196" spans="1:20" ht="12.75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</row>
    <row r="197" spans="1:20" ht="12.75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</row>
    <row r="198" spans="1:20" ht="12.75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</row>
    <row r="199" spans="1:20" ht="12.75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</row>
    <row r="200" spans="1:20" ht="12.75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</row>
    <row r="201" spans="1:20" ht="12.75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</row>
    <row r="202" spans="1:20" ht="12.75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</row>
    <row r="203" spans="1:20" ht="12.75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</row>
    <row r="204" spans="1:20" ht="12.75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</row>
    <row r="205" spans="1:20" ht="12.75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</row>
    <row r="206" spans="1:20" ht="12.75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</row>
    <row r="207" spans="1:20" ht="12.75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</row>
    <row r="208" spans="1:20" ht="12.75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</row>
    <row r="209" spans="1:20" ht="12.75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</row>
    <row r="210" spans="1:20" ht="12.75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</row>
    <row r="211" spans="1:20" ht="12.75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</row>
    <row r="212" spans="1:20" ht="12.75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</row>
    <row r="213" spans="1:20" ht="12.75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</row>
    <row r="214" spans="1:20" ht="12.75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</row>
    <row r="215" spans="1:20" ht="12.75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</row>
    <row r="216" spans="1:20" ht="12.75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</row>
    <row r="217" spans="1:20" ht="12.75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</row>
    <row r="218" spans="1:20" ht="12.75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</row>
    <row r="219" spans="1:20" ht="12.75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</row>
    <row r="220" spans="1:20" ht="12.75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</row>
    <row r="221" spans="1:20" ht="12.75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</row>
    <row r="222" spans="1:20" ht="12.75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</row>
    <row r="223" spans="1:20" ht="12.75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</row>
    <row r="224" spans="1:20" ht="12.75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</row>
    <row r="225" spans="1:20" ht="12.75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</row>
    <row r="226" spans="1:20" ht="12.75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</row>
    <row r="227" spans="1:20" ht="12.75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</row>
    <row r="228" spans="1:20" ht="12.75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</row>
    <row r="229" spans="1:20" ht="12.75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</row>
    <row r="230" spans="1:20" ht="12.75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</row>
    <row r="231" spans="1:20" ht="12.75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</row>
    <row r="232" spans="1:20" ht="12.75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</row>
    <row r="233" spans="1:20" ht="12.75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</row>
    <row r="234" spans="1:20" ht="12.75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</row>
    <row r="235" spans="1:20" ht="12.75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</row>
    <row r="236" spans="1:20" ht="12.75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</row>
    <row r="237" spans="1:20" ht="12.75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</row>
    <row r="238" spans="1:20" ht="12.75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</row>
    <row r="239" spans="1:20" ht="12.75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</row>
    <row r="240" spans="1:20" ht="12.75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</row>
    <row r="241" spans="1:20" ht="12.75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</row>
    <row r="242" spans="1:20" ht="12.75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</row>
    <row r="243" spans="1:20" ht="12.75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</row>
    <row r="244" spans="1:20" ht="12.75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</row>
    <row r="245" spans="1:20" ht="12.75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</row>
    <row r="246" spans="1:20" ht="12.75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</row>
    <row r="247" spans="1:20" ht="12.75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</row>
    <row r="248" spans="1:20" ht="12.75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</row>
    <row r="249" spans="1:20" ht="12.75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</row>
    <row r="250" spans="1:20" ht="12.75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</row>
    <row r="251" spans="1:20" ht="12.75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</row>
    <row r="252" spans="1:20" ht="12.75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</row>
    <row r="253" spans="1:20" ht="12.75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</row>
    <row r="254" spans="1:20" ht="12.75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</row>
    <row r="255" spans="1:20" ht="12.75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</row>
    <row r="256" spans="1:20" ht="12.75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</row>
    <row r="257" spans="1:20" ht="12.75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</row>
    <row r="258" spans="1:20" ht="12.75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</row>
    <row r="259" spans="1:20" ht="12.75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</row>
    <row r="260" spans="1:20" ht="12.75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</row>
    <row r="261" spans="1:20" ht="12.75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</row>
    <row r="262" spans="1:20" ht="12.75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</row>
    <row r="263" spans="1:20" ht="12.75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</row>
    <row r="264" spans="1:20" ht="12.75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</row>
    <row r="265" spans="1:20" ht="12.75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</row>
    <row r="266" spans="1:20" ht="12.75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</row>
    <row r="267" spans="1:20" ht="12.75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</row>
    <row r="268" spans="1:20" ht="12.75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</row>
    <row r="269" spans="1:20" ht="12.75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</row>
    <row r="270" spans="1:20" ht="12.75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</row>
    <row r="271" spans="1:20" ht="12.75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</row>
    <row r="272" spans="1:20" ht="12.75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</row>
    <row r="273" spans="1:20" ht="12.75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</row>
    <row r="274" spans="1:20" ht="12.75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</row>
    <row r="275" spans="1:20" ht="12.75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</row>
    <row r="276" spans="1:20" ht="12.75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</row>
    <row r="277" spans="1:20" ht="12.75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</row>
    <row r="278" spans="1:20" ht="12.75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</row>
    <row r="279" spans="1:20" ht="12.75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</row>
    <row r="280" spans="1:20" ht="12.75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</row>
    <row r="281" spans="1:20" ht="12.75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</row>
    <row r="282" spans="1:20" ht="12.75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</row>
    <row r="283" spans="1:20" ht="12.75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</row>
    <row r="284" spans="1:20" ht="12.75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</row>
    <row r="285" spans="1:20" ht="12.75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</row>
    <row r="286" spans="1:20" ht="12.75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</row>
    <row r="287" spans="1:20" ht="12.75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</row>
    <row r="288" spans="1:20" ht="12.75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</row>
    <row r="289" spans="1:20" ht="12.75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</row>
    <row r="290" spans="1:20" ht="12.75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</row>
    <row r="291" spans="1:20" ht="12.75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</row>
    <row r="292" spans="1:20" ht="12.75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</row>
    <row r="293" spans="1:20" ht="12.75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</row>
    <row r="294" spans="1:20" ht="12.75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</row>
    <row r="295" spans="1:20" ht="12.75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</row>
    <row r="296" spans="1:20" ht="12.75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</row>
    <row r="297" spans="1:20" ht="12.75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</row>
    <row r="298" spans="1:20" ht="12.75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</row>
    <row r="299" spans="1:20" ht="12.75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</row>
    <row r="300" spans="1:20" ht="12.75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</row>
    <row r="301" spans="1:20" ht="12.75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</row>
    <row r="302" spans="1:20" ht="12.75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</row>
    <row r="303" spans="1:20" ht="12.75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</row>
    <row r="304" spans="1:20" ht="12.75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</row>
    <row r="305" spans="1:20" ht="12.75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</row>
    <row r="306" spans="1:20" ht="12.75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</row>
    <row r="307" spans="1:20" ht="12.75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</row>
    <row r="308" spans="1:20" ht="12.75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</row>
    <row r="309" spans="1:20" ht="12.75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</row>
    <row r="310" spans="1:20" ht="12.75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</row>
    <row r="311" spans="1:20" ht="12.75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</row>
    <row r="312" spans="1:20" ht="12.75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</row>
    <row r="313" spans="1:20" ht="12.75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</row>
    <row r="314" spans="1:20" ht="12.75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</row>
    <row r="315" spans="1:20" ht="12.75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</row>
    <row r="316" spans="1:20" ht="12.75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</row>
    <row r="317" spans="1:20" ht="12.75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</row>
    <row r="318" spans="1:20" ht="12.75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</row>
    <row r="319" spans="1:20" ht="12.75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</row>
    <row r="320" spans="1:20" ht="12.75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</row>
    <row r="321" spans="1:20" ht="12.75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</row>
    <row r="322" spans="1:20" ht="12.75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</row>
    <row r="323" spans="1:20" ht="12.75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</row>
    <row r="324" spans="1:20" ht="12.75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</row>
    <row r="325" spans="1:20" ht="12.75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</row>
    <row r="326" spans="1:20" ht="12.75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</row>
    <row r="327" spans="1:20" ht="12.75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</row>
    <row r="328" spans="1:20" ht="12.75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</row>
    <row r="329" spans="1:20" ht="12.75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</row>
    <row r="330" spans="1:20" ht="12.75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</row>
    <row r="331" spans="1:20" ht="12.75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</row>
    <row r="332" spans="1:20" ht="12.75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</row>
    <row r="333" spans="1:20" ht="12.75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</row>
    <row r="334" spans="1:20" ht="12.75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</row>
    <row r="335" spans="1:20" ht="12.75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</row>
    <row r="336" spans="1:20" ht="12.75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</row>
    <row r="337" spans="1:20" ht="12.75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</row>
    <row r="338" spans="1:20" ht="12.75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</row>
    <row r="339" spans="1:20" ht="12.75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</row>
    <row r="340" spans="1:20" ht="12.75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</row>
    <row r="341" spans="1:20" ht="12.75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</row>
    <row r="342" spans="1:20" ht="12.75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</row>
    <row r="343" spans="1:20" ht="12.75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</row>
    <row r="344" spans="1:20" ht="12.75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</row>
    <row r="345" spans="1:20" ht="12.75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</row>
    <row r="346" spans="1:20" ht="12.75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</row>
    <row r="347" spans="1:20" ht="12.75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</row>
    <row r="348" spans="1:20" ht="12.75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</row>
    <row r="349" spans="1:20" ht="12.75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</row>
    <row r="350" spans="1:20" ht="12.75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</row>
    <row r="351" spans="1:20" ht="12.75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</row>
    <row r="352" spans="1:20" ht="12.75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</row>
    <row r="353" spans="1:20" ht="12.75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</row>
    <row r="354" spans="1:20" ht="12.75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</row>
    <row r="355" spans="1:20" ht="12.75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</row>
    <row r="356" spans="1:20" ht="12.75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</row>
    <row r="357" spans="1:20" ht="12.75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</row>
    <row r="358" spans="1:20" ht="12.75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</row>
    <row r="359" spans="1:20" ht="12.75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</row>
    <row r="360" spans="1:20" ht="12.75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</row>
    <row r="361" spans="1:20" ht="12.75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</row>
    <row r="362" spans="1:20" ht="12.75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</row>
    <row r="363" spans="1:20" ht="12.75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</row>
    <row r="364" spans="1:20" ht="12.75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</row>
    <row r="365" spans="1:20" ht="12.75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</row>
    <row r="366" spans="1:20" ht="12.75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</row>
    <row r="367" spans="1:20" ht="12.75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</row>
    <row r="368" spans="1:20" ht="12.75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</row>
    <row r="369" spans="1:20" ht="12.75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</row>
    <row r="370" spans="1:20" ht="12.75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</row>
    <row r="371" spans="1:20" ht="12.75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</row>
    <row r="372" spans="1:20" ht="12.75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</row>
    <row r="373" spans="1:20" ht="12.75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</row>
    <row r="374" spans="1:20" ht="12.75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</row>
    <row r="375" spans="1:20" ht="12.75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</row>
    <row r="376" spans="1:20" ht="12.75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</row>
    <row r="377" spans="1:20" ht="12.75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</row>
    <row r="378" spans="1:20" ht="12.75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</row>
    <row r="379" spans="1:20" ht="12.75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</row>
    <row r="380" spans="1:20" ht="12.75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</row>
    <row r="381" spans="1:20" ht="12.75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</row>
    <row r="382" spans="1:20" ht="12.75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</row>
    <row r="383" spans="1:20" ht="12.75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</row>
    <row r="384" spans="1:20" ht="12.75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</row>
    <row r="385" spans="1:20" ht="12.75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</row>
    <row r="386" spans="1:20" ht="12.75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</row>
    <row r="387" spans="1:20" ht="12.75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</row>
    <row r="388" spans="1:20" ht="12.75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</row>
    <row r="389" spans="1:20" ht="12.75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</row>
    <row r="390" spans="1:20" ht="12.75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</row>
    <row r="391" spans="1:20" ht="12.75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</row>
    <row r="392" spans="1:20" ht="12.75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</row>
    <row r="393" spans="1:20" ht="12.75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</row>
    <row r="394" spans="1:20" ht="12.75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</row>
    <row r="395" spans="1:20" ht="12.75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</row>
    <row r="396" spans="1:20" ht="12.75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</row>
    <row r="397" spans="1:20" ht="12.75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</row>
    <row r="398" spans="1:20" ht="12.75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</row>
    <row r="399" spans="1:20" ht="12.75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</row>
    <row r="400" spans="1:20" ht="12.75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</row>
    <row r="401" spans="1:20" ht="12.75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</row>
    <row r="402" spans="1:20" ht="12.75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</row>
    <row r="403" spans="1:20" ht="12.75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</row>
    <row r="404" spans="1:20" ht="12.75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</row>
    <row r="405" spans="1:20" ht="12.75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</row>
    <row r="406" spans="1:20" ht="12.75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</row>
    <row r="407" spans="1:20" ht="12.75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</row>
    <row r="408" spans="1:20" ht="12.75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</row>
    <row r="409" spans="1:20" ht="12.75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</row>
    <row r="410" spans="1:20" ht="12.75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</row>
    <row r="411" spans="1:20" ht="12.75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</row>
    <row r="412" spans="1:20" ht="12.75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</row>
    <row r="413" spans="1:20" ht="12.75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</row>
    <row r="414" spans="1:20" ht="12.75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</row>
    <row r="415" spans="1:20" ht="12.75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</row>
    <row r="416" spans="1:20" ht="12.75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</row>
    <row r="417" spans="1:20" ht="12.75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</row>
    <row r="418" spans="1:20" ht="12.75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</row>
    <row r="419" spans="1:20" ht="12.75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</row>
    <row r="420" spans="1:20" ht="12.75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</row>
    <row r="421" spans="1:20" ht="12.75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</row>
    <row r="422" spans="1:20" ht="12.75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</row>
    <row r="423" spans="1:20" ht="12.75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</row>
    <row r="424" spans="1:20" ht="12.75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</row>
    <row r="425" spans="1:20" ht="12.75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</row>
    <row r="426" spans="1:20" ht="12.75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</row>
    <row r="427" spans="1:20" ht="12.75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</row>
    <row r="428" spans="1:20" ht="12.75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</row>
    <row r="429" spans="1:20" ht="12.75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</row>
    <row r="430" spans="1:20" ht="12.75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</row>
    <row r="431" spans="1:20" ht="12.75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</row>
    <row r="432" spans="1:20" ht="12.75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</row>
    <row r="433" spans="1:20" ht="12.75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</row>
    <row r="434" spans="1:20" ht="12.75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</row>
    <row r="435" spans="1:20" ht="12.75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</row>
    <row r="436" spans="1:20" ht="12.75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</row>
    <row r="437" spans="1:20" ht="12.75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</row>
    <row r="438" spans="1:20" ht="12.75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</row>
    <row r="439" spans="1:20" ht="12.75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</row>
    <row r="440" spans="1:20" ht="12.75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</row>
    <row r="441" spans="1:20" ht="12.75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</row>
    <row r="442" spans="1:20" ht="12.75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</row>
    <row r="443" spans="1:20" ht="12.75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</row>
    <row r="444" spans="1:20" ht="12.75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</row>
    <row r="445" spans="1:20" ht="12.75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</row>
    <row r="446" spans="1:20" ht="12.75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</row>
    <row r="447" spans="1:20" ht="12.75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</row>
    <row r="448" spans="1:20" ht="12.75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</row>
    <row r="449" spans="1:20" ht="12.75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</row>
    <row r="450" spans="1:20" ht="12.75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</row>
    <row r="451" spans="1:20" ht="12.75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</row>
    <row r="452" spans="1:20" ht="12.75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</row>
    <row r="453" spans="1:20" ht="12.75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</row>
    <row r="454" spans="1:20" ht="12.75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</row>
    <row r="455" spans="1:20" ht="12.75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</row>
    <row r="456" spans="1:20" ht="12.75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</row>
    <row r="457" spans="1:20" ht="12.75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</row>
    <row r="458" spans="1:20" ht="12.75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</row>
    <row r="459" spans="1:20" ht="12.75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</row>
    <row r="460" spans="1:20" ht="12.75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</row>
    <row r="461" spans="1:20" ht="12.75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</row>
    <row r="462" spans="1:20" ht="12.75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</row>
    <row r="463" spans="1:20" ht="12.75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</row>
    <row r="464" spans="1:20" ht="12.75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</row>
    <row r="465" spans="1:20" ht="12.75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</row>
    <row r="466" spans="1:20" ht="12.75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</row>
    <row r="467" spans="1:20" ht="12.75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</row>
    <row r="468" spans="1:20" ht="12.75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</row>
    <row r="469" spans="1:20" ht="12.75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</row>
    <row r="470" spans="1:20" ht="12.75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</row>
    <row r="471" spans="1:20" ht="12.75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</row>
    <row r="472" spans="1:20" ht="12.75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</row>
    <row r="473" spans="1:20" ht="12.75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</row>
    <row r="474" spans="1:20" ht="12.75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</row>
    <row r="475" spans="1:20" ht="12.75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</row>
    <row r="476" spans="1:20" ht="12.75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</row>
    <row r="477" spans="1:20" ht="12.75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</row>
    <row r="478" spans="1:20" ht="12.75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</row>
    <row r="479" spans="1:20" ht="12.75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</row>
    <row r="480" spans="1:20" ht="12.75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</row>
    <row r="481" spans="1:20" ht="12.75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</row>
    <row r="482" spans="1:20" ht="12.75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</row>
    <row r="483" spans="1:20" ht="12.75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</row>
    <row r="484" spans="1:20" ht="12.75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</row>
    <row r="485" spans="1:20" ht="12.75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</row>
    <row r="486" spans="1:20" ht="12.75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</row>
    <row r="487" spans="1:20" ht="12.75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</row>
    <row r="488" spans="1:20" ht="12.75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</row>
    <row r="489" spans="1:20" ht="12.75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</row>
    <row r="490" spans="1:20" ht="12.75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</row>
    <row r="491" spans="1:20" ht="12.75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</row>
    <row r="492" spans="1:20" ht="12.75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</row>
    <row r="493" spans="1:20" ht="12.75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</row>
    <row r="494" spans="1:20" ht="12.75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</row>
    <row r="495" spans="1:20" ht="12.75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</row>
    <row r="496" spans="1:20" ht="12.75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</row>
    <row r="497" spans="1:20" ht="12.75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</row>
    <row r="498" spans="1:20" ht="12.75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</row>
    <row r="499" spans="1:20" ht="12.75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</row>
    <row r="500" spans="1:20" ht="12.75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</row>
    <row r="501" spans="1:20" ht="12.75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</row>
    <row r="502" spans="1:20" ht="12.75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</row>
    <row r="503" spans="1:20" ht="12.75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</row>
    <row r="504" spans="1:20" ht="12.75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</row>
    <row r="505" spans="1:20" ht="12.75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</row>
    <row r="506" spans="1:20" ht="12.75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</row>
    <row r="507" spans="1:20" ht="12.75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</row>
    <row r="508" spans="1:20" ht="12.75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</row>
    <row r="509" spans="1:20" ht="12.75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</row>
    <row r="510" spans="1:20" ht="12.75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</row>
    <row r="511" spans="1:20" ht="12.75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</row>
    <row r="512" spans="1:20" ht="12.75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</row>
    <row r="513" spans="1:20" ht="12.75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</row>
    <row r="514" spans="1:20" ht="12.75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</row>
    <row r="515" spans="1:20" ht="12.75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</row>
    <row r="516" spans="1:20" ht="12.75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</row>
    <row r="517" spans="1:20" ht="12.75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</row>
    <row r="518" spans="1:20" ht="12.75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</row>
    <row r="519" spans="1:20" ht="12.75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</row>
    <row r="520" spans="1:20" ht="12.75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</row>
    <row r="521" spans="1:20" ht="12.75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</row>
    <row r="522" spans="1:20" ht="12.75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</row>
    <row r="523" spans="1:20" ht="12.75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</row>
    <row r="524" spans="1:20" ht="12.75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</row>
    <row r="525" spans="1:20" ht="12.75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</row>
    <row r="526" spans="1:20" ht="12.75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</row>
    <row r="527" spans="1:20" ht="12.75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</row>
    <row r="528" spans="1:20" ht="12.75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</row>
    <row r="529" spans="1:20" ht="12.75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</row>
    <row r="530" spans="1:20" ht="12.75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</row>
    <row r="531" spans="1:20" ht="12.75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</row>
    <row r="532" spans="1:20" ht="12.75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</row>
    <row r="533" spans="1:20" ht="12.75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</row>
    <row r="534" spans="1:20" ht="12.75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</row>
    <row r="535" spans="1:20" ht="12.75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</row>
    <row r="536" spans="1:20" ht="12.75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</row>
    <row r="537" spans="1:20" ht="12.75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</row>
    <row r="538" spans="1:20" ht="12.75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</row>
    <row r="539" spans="1:20" ht="12.75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</row>
    <row r="540" spans="1:20" ht="12.75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</row>
    <row r="541" spans="1:20" ht="12.75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</row>
    <row r="542" spans="1:20" ht="12.75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</row>
    <row r="543" spans="1:20" ht="12.75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</row>
    <row r="544" spans="1:20" ht="12.75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</row>
    <row r="545" spans="1:20" ht="12.75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</row>
    <row r="546" spans="1:20" ht="12.75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</row>
    <row r="547" spans="1:20" ht="12.75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</row>
    <row r="548" spans="1:20" ht="12.75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</row>
    <row r="549" spans="1:20" ht="12.75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</row>
    <row r="550" spans="1:20" ht="12.75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</row>
    <row r="551" spans="1:20" ht="12.75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</row>
    <row r="552" spans="1:20" ht="12.75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</row>
    <row r="553" spans="1:20" ht="12.75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</row>
    <row r="554" spans="1:20" ht="12.75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</row>
    <row r="555" spans="1:20" ht="12.75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</row>
    <row r="556" spans="1:20" ht="12.75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</row>
    <row r="557" spans="1:20" ht="12.75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</row>
    <row r="558" spans="1:20" ht="12.75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</row>
    <row r="559" spans="1:20" ht="12.75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</row>
    <row r="560" spans="1:20" ht="12.75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</row>
    <row r="561" spans="1:20" ht="12.75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</row>
    <row r="562" spans="1:20" ht="12.75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</row>
    <row r="563" spans="1:20" ht="12.75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</row>
    <row r="564" spans="1:20" ht="12.75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</row>
    <row r="565" spans="1:20" ht="12.75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</row>
    <row r="566" spans="1:20" ht="12.75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</row>
    <row r="567" spans="1:20" ht="12.75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</row>
    <row r="568" spans="1:20" ht="12.75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</row>
    <row r="569" spans="1:20" ht="12.75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</row>
    <row r="570" spans="1:20" ht="12.75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</row>
    <row r="571" spans="1:20" ht="12.75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</row>
    <row r="572" spans="1:20" ht="12.75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</row>
    <row r="573" spans="1:20" ht="12.75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</row>
    <row r="574" spans="1:20" ht="12.75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</row>
    <row r="575" spans="1:20" ht="12.75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</row>
    <row r="576" spans="1:20" ht="12.75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</row>
    <row r="577" spans="1:20" ht="12.75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</row>
    <row r="578" spans="1:20" ht="12.75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</row>
    <row r="579" spans="1:20" ht="12.75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</row>
    <row r="580" spans="1:20" ht="12.75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</row>
    <row r="581" spans="1:20" ht="12.75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</row>
    <row r="582" spans="1:20" ht="12.75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</row>
    <row r="583" spans="1:20" ht="12.75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</row>
    <row r="584" spans="1:20" ht="12.75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</row>
    <row r="585" spans="1:20" ht="12.75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</row>
    <row r="586" spans="1:20" ht="12.75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</row>
    <row r="587" spans="1:20" ht="12.75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</row>
    <row r="588" spans="1:20" ht="12.75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</row>
    <row r="589" spans="1:20" ht="12.75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</row>
    <row r="590" spans="1:20" ht="12.75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</row>
    <row r="591" spans="1:20" ht="12.75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</row>
    <row r="592" spans="1:20" ht="12.75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</row>
    <row r="593" spans="1:20" ht="12.75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</row>
    <row r="594" spans="1:20" ht="12.75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</row>
    <row r="595" spans="1:20" ht="12.75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</row>
    <row r="596" spans="1:20" ht="12.75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</row>
    <row r="597" spans="1:20" ht="12.75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</row>
    <row r="598" spans="1:20" ht="12.75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</row>
    <row r="599" spans="1:20" ht="12.75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</row>
    <row r="600" spans="1:20" ht="12.75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</row>
    <row r="601" spans="1:20" ht="12.75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</row>
    <row r="602" spans="1:20" ht="12.75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</row>
    <row r="603" spans="1:20" ht="12.75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</row>
    <row r="604" spans="1:20" ht="12.75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</row>
    <row r="605" spans="1:20" ht="12.75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</row>
    <row r="606" spans="1:20" ht="12.75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</row>
    <row r="607" spans="1:20" ht="12.75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</row>
    <row r="608" spans="1:20" ht="12.75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</row>
    <row r="609" spans="1:20" ht="12.75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</row>
    <row r="610" spans="1:20" ht="12.75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</row>
    <row r="611" spans="1:20" ht="12.75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</row>
    <row r="612" spans="1:20" ht="12.75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</row>
    <row r="613" spans="1:20" ht="12.75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</row>
    <row r="614" spans="1:20" ht="12.75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</row>
    <row r="615" spans="1:20" ht="12.75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</row>
    <row r="616" spans="1:20" ht="12.75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</row>
    <row r="617" spans="1:20" ht="12.75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</row>
    <row r="618" spans="1:20" ht="12.75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</row>
    <row r="619" spans="1:20" ht="12.75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</row>
    <row r="620" spans="1:20" ht="12.75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</row>
    <row r="621" spans="1:20" ht="12.75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</row>
    <row r="622" spans="1:20" ht="12.75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</row>
    <row r="623" spans="1:20" ht="12.75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</row>
    <row r="624" spans="1:20" ht="12.75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</row>
    <row r="625" spans="1:20" ht="12.75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</row>
    <row r="626" spans="1:20" ht="12.75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</row>
    <row r="627" spans="1:20" ht="12.75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</row>
    <row r="628" spans="1:20" ht="12.75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</row>
    <row r="629" spans="1:20" ht="12.75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</row>
    <row r="630" spans="1:20" ht="12.75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</row>
    <row r="631" spans="1:20" ht="12.75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</row>
    <row r="632" spans="1:20" ht="12.75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</row>
    <row r="633" spans="1:20" ht="12.75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</row>
    <row r="634" spans="1:20" ht="12.75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</row>
    <row r="635" spans="1:20" ht="12.75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</row>
    <row r="636" spans="1:20" ht="12.75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</row>
    <row r="637" spans="1:20" ht="12.75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</row>
    <row r="638" spans="1:20" ht="12.75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</row>
    <row r="639" spans="1:20" ht="12.75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</row>
    <row r="640" spans="1:20" ht="12.75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</row>
    <row r="641" spans="1:20" ht="12.75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</row>
    <row r="642" spans="1:20" ht="12.75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</row>
    <row r="643" spans="1:20" ht="12.75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</row>
    <row r="644" spans="1:20" ht="12.75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</row>
    <row r="645" spans="1:20" ht="12.75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</row>
    <row r="646" spans="1:20" ht="12.75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</row>
    <row r="647" spans="1:20" ht="12.75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</row>
    <row r="648" spans="1:20" ht="12.75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</row>
    <row r="649" spans="1:20" ht="12.75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</row>
    <row r="650" spans="1:20" ht="12.75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</row>
    <row r="651" spans="1:20" ht="12.75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</row>
    <row r="652" spans="1:20" ht="12.75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</row>
    <row r="653" spans="1:20" ht="12.75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</row>
    <row r="654" spans="1:20" ht="12.75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</row>
    <row r="655" spans="1:20" ht="12.75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</row>
    <row r="656" spans="1:20" ht="12.75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</row>
    <row r="657" spans="1:20" ht="12.75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</row>
    <row r="658" spans="1:20" ht="12.75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</row>
    <row r="659" spans="1:20" ht="12.75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</row>
    <row r="660" spans="1:20" ht="12.75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</row>
    <row r="661" spans="1:20" ht="12.75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</row>
    <row r="662" spans="1:20" ht="12.75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</row>
    <row r="663" spans="1:20" ht="12.75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</row>
    <row r="664" spans="1:20" ht="12.75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</row>
    <row r="665" spans="1:20" ht="12.75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</row>
    <row r="666" spans="1:20" ht="12.75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</row>
    <row r="667" spans="1:20" ht="12.75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</row>
    <row r="668" spans="1:20" ht="12.75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</row>
    <row r="669" spans="1:20" ht="12.75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</row>
    <row r="670" spans="1:20" ht="12.75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</row>
    <row r="671" spans="1:20" ht="12.75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</row>
    <row r="672" spans="1:20" ht="12.75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</row>
    <row r="673" spans="1:20" ht="12.75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</row>
    <row r="674" spans="1:20" ht="12.75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</row>
    <row r="675" spans="1:20" ht="12.75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</row>
    <row r="676" spans="1:20" ht="12.75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</row>
    <row r="677" spans="1:20" ht="12.75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</row>
    <row r="678" spans="1:20" ht="12.75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</row>
    <row r="679" spans="1:20" ht="12.75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</row>
    <row r="680" spans="1:20" ht="12.75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</row>
    <row r="681" spans="1:20" ht="12.75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</row>
    <row r="682" spans="1:20" ht="12.75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</row>
    <row r="683" spans="1:20" ht="12.75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</row>
    <row r="684" spans="1:20" ht="12.75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</row>
    <row r="685" spans="1:20" ht="12.75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</row>
    <row r="686" spans="1:20" ht="12.75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</row>
    <row r="687" spans="1:20" ht="12.75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</row>
    <row r="688" spans="1:20" ht="12.75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</row>
    <row r="689" spans="1:20" ht="12.75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</row>
    <row r="690" spans="1:20" ht="12.75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</row>
    <row r="691" spans="1:20" ht="12.75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</row>
    <row r="692" spans="1:20" ht="12.75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</row>
    <row r="693" spans="1:20" ht="12.75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</row>
    <row r="694" spans="1:20" ht="12.75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</row>
    <row r="695" spans="1:20" ht="12.75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</row>
    <row r="696" spans="1:20" ht="12.75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</row>
    <row r="697" spans="1:20" ht="12.75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</row>
    <row r="698" spans="1:20" ht="12.75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</row>
    <row r="699" spans="1:20" ht="12.75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</row>
    <row r="700" spans="1:20" ht="12.75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</row>
    <row r="701" spans="1:20" ht="12.75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</row>
    <row r="702" spans="1:20" ht="12.75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</row>
    <row r="703" spans="1:20" ht="12.75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</row>
    <row r="704" spans="1:20" ht="12.75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</row>
    <row r="705" spans="1:20" ht="12.75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</row>
    <row r="706" spans="1:20" ht="12.75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</row>
    <row r="707" spans="1:20" ht="12.75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</row>
    <row r="708" spans="1:20" ht="12.75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</row>
    <row r="709" spans="1:20" ht="12.75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</row>
    <row r="710" spans="1:20" ht="12.75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</row>
    <row r="711" spans="1:20" ht="12.75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</row>
    <row r="712" spans="1:20" ht="12.75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</row>
    <row r="713" spans="1:20" ht="12.75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</row>
    <row r="714" spans="1:20" ht="12.75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</row>
    <row r="715" spans="1:20" ht="12.75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</row>
    <row r="716" spans="1:20" ht="12.75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</row>
    <row r="717" spans="1:20" ht="12.75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</row>
    <row r="718" spans="1:20" ht="12.75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</row>
    <row r="719" spans="1:20" ht="12.75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</row>
    <row r="720" spans="1:20" ht="12.75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</row>
    <row r="721" spans="1:20" ht="12.75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</row>
    <row r="722" spans="1:20" ht="12.75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</row>
    <row r="723" spans="1:20" ht="12.75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</row>
    <row r="724" spans="1:20" ht="12.75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</row>
    <row r="725" spans="1:20" ht="12.75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</row>
    <row r="726" spans="1:20" ht="12.75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</row>
    <row r="727" spans="1:20" ht="12.75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</row>
    <row r="728" spans="1:20" ht="12.75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</row>
    <row r="729" spans="1:20" ht="12.75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</row>
    <row r="730" spans="1:20" ht="12.75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</row>
    <row r="731" spans="1:20" ht="12.75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</row>
    <row r="732" spans="1:20" ht="12.75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</row>
    <row r="733" spans="1:20" ht="12.75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</row>
    <row r="734" spans="1:20" ht="12.75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</row>
    <row r="735" spans="1:20" ht="12.75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</row>
    <row r="736" spans="1:20" ht="12.75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</row>
    <row r="737" spans="1:20" ht="12.75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</row>
    <row r="738" spans="1:20" ht="12.75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</row>
    <row r="739" spans="1:20" ht="12.75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</row>
    <row r="740" spans="1:20" ht="12.75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</row>
    <row r="741" spans="1:20" ht="12.75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</row>
    <row r="742" spans="1:20" ht="12.75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</row>
    <row r="743" spans="1:20" ht="12.75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</row>
    <row r="744" spans="1:20" ht="12.75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</row>
    <row r="745" spans="1:20" ht="12.75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</row>
    <row r="746" spans="1:20" ht="12.75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</row>
    <row r="747" spans="1:20" ht="12.75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</row>
    <row r="748" spans="1:20" ht="12.75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</row>
    <row r="749" spans="1:20" ht="12.75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</row>
    <row r="750" spans="1:20" ht="12.75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</row>
    <row r="751" spans="1:20" ht="12.75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</row>
    <row r="752" spans="1:20" ht="12.75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</row>
    <row r="753" spans="1:20" ht="12.75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</row>
    <row r="754" spans="1:20" ht="12.75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</row>
    <row r="755" spans="1:20" ht="12.75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</row>
    <row r="756" spans="1:20" ht="12.75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</row>
    <row r="757" spans="1:20" ht="12.75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</row>
    <row r="758" spans="1:20" ht="12.75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</row>
    <row r="759" spans="1:20" ht="12.75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</row>
    <row r="760" spans="1:20" ht="12.75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</row>
    <row r="761" spans="1:20" ht="12.75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</row>
    <row r="762" spans="1:20" ht="12.75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</row>
    <row r="763" spans="1:20" ht="12.75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</row>
    <row r="764" spans="1:20" ht="12.75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</row>
    <row r="765" spans="1:20" ht="12.75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</row>
    <row r="766" spans="1:20" ht="12.75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</row>
    <row r="767" spans="1:20" ht="12.75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</row>
    <row r="768" spans="1:20" ht="12.75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</row>
    <row r="769" spans="1:20" ht="12.75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</row>
    <row r="770" spans="1:20" ht="12.75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</row>
    <row r="771" spans="1:20" ht="12.75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</row>
    <row r="772" spans="1:20" ht="12.75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</row>
    <row r="773" spans="1:20" ht="12.75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</row>
    <row r="774" spans="1:20" ht="12.75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</row>
    <row r="775" spans="1:20" ht="12.75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</row>
    <row r="776" spans="1:20" ht="12.75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</row>
    <row r="777" spans="1:20" ht="12.75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</row>
    <row r="778" spans="1:20" ht="12.75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</row>
    <row r="779" spans="1:20" ht="12.75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</row>
    <row r="780" spans="1:20" ht="12.75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</row>
    <row r="781" spans="1:20" ht="12.75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</row>
    <row r="782" spans="1:20" ht="12.75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</row>
    <row r="783" spans="1:20" ht="12.75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</row>
    <row r="784" spans="1:20" ht="12.75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</row>
    <row r="785" spans="1:20" ht="12.75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</row>
    <row r="786" spans="1:20" ht="12.75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</row>
    <row r="787" spans="1:20" ht="12.75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</row>
    <row r="788" spans="1:20" ht="12.75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</row>
    <row r="789" spans="1:20" ht="12.75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</row>
    <row r="790" spans="1:20" ht="12.75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</row>
    <row r="791" spans="1:20" ht="12.75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</row>
    <row r="792" spans="1:20" ht="12.75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</row>
    <row r="793" spans="1:20" ht="12.75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</row>
    <row r="794" spans="1:20" ht="12.75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</row>
    <row r="795" spans="1:20" ht="12.75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</row>
    <row r="796" spans="1:20" ht="12.75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</row>
    <row r="797" spans="1:20" ht="12.75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</row>
    <row r="798" spans="1:20" ht="12.75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</row>
    <row r="799" spans="1:20" ht="12.75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</row>
    <row r="800" spans="1:20" ht="12.75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</row>
    <row r="801" spans="1:20" ht="12.75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</row>
    <row r="802" spans="1:20" ht="12.75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</row>
    <row r="803" spans="1:20" ht="12.75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</row>
    <row r="804" spans="1:20" ht="12.75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</row>
    <row r="805" spans="1:20" ht="12.75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</row>
    <row r="806" spans="1:20" ht="12.75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</row>
    <row r="807" spans="1:20" ht="12.75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</row>
    <row r="808" spans="1:20" ht="12.75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</row>
    <row r="809" spans="1:20" ht="12.75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</row>
    <row r="810" spans="1:20" ht="12.75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</row>
    <row r="811" spans="1:20" ht="12.75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</row>
    <row r="812" spans="1:20" ht="12.75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</row>
    <row r="813" spans="1:20" ht="12.75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</row>
    <row r="814" spans="1:20" ht="12.75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</row>
    <row r="815" spans="1:20" ht="12.75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</row>
    <row r="816" spans="1:20" ht="12.75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</row>
    <row r="817" spans="1:20" ht="12.75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</row>
    <row r="818" spans="1:20" ht="12.75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</row>
    <row r="819" spans="1:20" ht="12.75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</row>
    <row r="820" spans="1:20" ht="12.75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</row>
    <row r="821" spans="1:20" ht="12.75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</row>
    <row r="822" spans="1:20" ht="12.75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</row>
    <row r="823" spans="1:20" ht="12.75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</row>
    <row r="824" spans="1:20" ht="12.75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</row>
    <row r="825" spans="1:20" ht="12.75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</row>
    <row r="826" spans="1:20" ht="12.75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</row>
    <row r="827" spans="1:20" ht="12.75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</row>
    <row r="828" spans="1:20" ht="12.75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</row>
    <row r="829" spans="1:20" ht="12.75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</row>
    <row r="830" spans="1:20" ht="12.75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</row>
    <row r="831" spans="1:20" ht="12.75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</row>
    <row r="832" spans="1:20" ht="12.75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</row>
    <row r="833" spans="1:20" ht="12.75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</row>
    <row r="834" spans="1:20" ht="12.75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</row>
    <row r="835" spans="1:20" ht="12.75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</row>
    <row r="836" spans="1:20" ht="12.75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</row>
    <row r="837" spans="1:20" ht="12.75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</row>
    <row r="838" spans="1:20" ht="12.75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</row>
    <row r="839" spans="1:20" ht="12.75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</row>
    <row r="840" spans="1:20" ht="12.75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</row>
    <row r="841" spans="1:20" ht="12.75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</row>
    <row r="842" spans="1:20" ht="12.75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</row>
    <row r="843" spans="1:20" ht="12.75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</row>
    <row r="844" spans="1:20" ht="12.75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</row>
    <row r="845" spans="1:20" ht="12.75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</row>
    <row r="846" spans="1:20" ht="12.75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</row>
    <row r="847" spans="1:20" ht="12.75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</row>
    <row r="848" spans="1:20" ht="12.75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</row>
    <row r="849" spans="1:20" ht="12.75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</row>
    <row r="850" spans="1:20" ht="12.75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</row>
    <row r="851" spans="1:20" ht="12.75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</row>
    <row r="852" spans="1:20" ht="12.75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</row>
    <row r="853" spans="1:20" ht="12.75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</row>
    <row r="854" spans="1:20" ht="12.75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</row>
    <row r="855" spans="1:20" ht="12.75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</row>
    <row r="856" spans="1:20" ht="12.75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</row>
    <row r="857" spans="1:20" ht="12.75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</row>
    <row r="858" spans="1:20" ht="12.75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</row>
    <row r="859" spans="1:20" ht="12.75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</row>
    <row r="860" spans="1:20" ht="12.75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</row>
    <row r="861" spans="1:20" ht="12.75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</row>
    <row r="862" spans="1:20" ht="12.75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</row>
    <row r="863" spans="1:20" ht="12.75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</row>
    <row r="864" spans="1:20" ht="12.75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</row>
    <row r="865" spans="1:20" ht="12.75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</row>
    <row r="866" spans="1:20" ht="12.75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</row>
    <row r="867" spans="1:20" ht="12.75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</row>
    <row r="868" spans="1:20" ht="12.75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</row>
    <row r="869" spans="1:20" ht="12.75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</row>
    <row r="870" spans="1:20" ht="12.75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</row>
    <row r="871" spans="1:20" ht="12.75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</row>
    <row r="872" spans="1:20" ht="12.75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</row>
    <row r="873" spans="1:20" ht="12.75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</row>
    <row r="874" spans="1:20" ht="12.75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</row>
    <row r="875" spans="1:20" ht="12.75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</row>
    <row r="876" spans="1:20" ht="12.75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</row>
    <row r="877" spans="1:20" ht="12.75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</row>
    <row r="878" spans="1:20" ht="12.75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</row>
    <row r="879" spans="1:20" ht="12.75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</row>
    <row r="880" spans="1:20" ht="12.75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</row>
    <row r="881" spans="1:20" ht="12.75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</row>
    <row r="882" spans="1:20" ht="12.75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</row>
    <row r="883" spans="1:20" ht="12.75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</row>
    <row r="884" spans="1:20" ht="12.75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</row>
    <row r="885" spans="1:20" ht="12.75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</row>
    <row r="886" spans="1:20" ht="12.75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</row>
    <row r="887" spans="1:20" ht="12.75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</row>
    <row r="888" spans="1:20" ht="12.75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</row>
    <row r="889" spans="1:20" ht="12.75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</row>
    <row r="890" spans="1:20" ht="12.75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</row>
    <row r="891" spans="1:20" ht="12.75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</row>
    <row r="892" spans="1:20" ht="12.75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</row>
    <row r="893" spans="1:20" ht="12.75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</row>
    <row r="894" spans="1:20" ht="12.75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</row>
    <row r="895" spans="1:20" ht="12.75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</row>
    <row r="896" spans="1:20" ht="12.75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</row>
    <row r="897" spans="1:20" ht="12.75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</row>
    <row r="898" spans="1:20" ht="12.75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</row>
    <row r="899" spans="1:20" ht="12.75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</row>
    <row r="900" spans="1:20" ht="12.75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</row>
    <row r="901" spans="1:20" ht="12.75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</row>
    <row r="902" spans="1:20" ht="12.75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</row>
    <row r="903" spans="1:20" ht="12.75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</row>
    <row r="904" spans="1:20" ht="12.75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</row>
    <row r="905" spans="1:20" ht="12.75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</row>
    <row r="906" spans="1:20" ht="12.75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</row>
    <row r="907" spans="1:20" ht="12.75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</row>
    <row r="908" spans="1:20" ht="12.75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</row>
    <row r="909" spans="1:20" ht="12.75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</row>
    <row r="910" spans="1:20" ht="12.75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</row>
    <row r="911" spans="1:20" ht="12.75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</row>
    <row r="912" spans="1:20" ht="12.75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</row>
    <row r="913" spans="1:20" ht="12.75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</row>
    <row r="914" spans="1:20" ht="12.75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</row>
    <row r="915" spans="1:20" ht="12.75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</row>
    <row r="916" spans="1:20" ht="12.75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</row>
    <row r="917" spans="1:20" ht="12.75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</row>
    <row r="918" spans="1:20" ht="12.75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</row>
    <row r="919" spans="1:20" ht="12.75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</row>
    <row r="920" spans="1:20" ht="12.75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</row>
    <row r="921" spans="1:20" ht="12.75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</row>
    <row r="922" spans="1:20" ht="12.75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</row>
    <row r="923" spans="1:20" ht="12.75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</row>
    <row r="924" spans="1:20" ht="12.75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</row>
    <row r="925" spans="1:20" ht="12.75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</row>
    <row r="926" spans="1:20" ht="12.75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</row>
    <row r="927" spans="1:20" ht="12.75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</row>
    <row r="928" spans="1:20" ht="12.75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</row>
    <row r="929" spans="1:20" ht="12.75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</row>
    <row r="930" spans="1:20" ht="12.75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</row>
    <row r="931" spans="1:20" ht="12.75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</row>
    <row r="932" spans="1:20" ht="12.75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</row>
    <row r="933" spans="1:20" ht="12.75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</row>
    <row r="934" spans="1:20" ht="12.75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</row>
    <row r="935" spans="1:20" ht="12.75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</row>
    <row r="936" spans="1:20" ht="12.75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</row>
    <row r="937" spans="1:20" ht="12.75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</row>
    <row r="938" spans="1:20" ht="12.75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</row>
    <row r="939" spans="1:20" ht="12.75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</row>
    <row r="940" spans="1:20" ht="12.75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</row>
    <row r="941" spans="1:20" ht="12.75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</row>
    <row r="942" spans="1:20" ht="12.75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</row>
    <row r="943" spans="1:20" ht="12.75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</row>
    <row r="944" spans="1:20" ht="12.75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</row>
    <row r="945" spans="1:20" ht="12.75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</row>
    <row r="946" spans="1:20" ht="12.75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</row>
    <row r="947" spans="1:20" ht="12.75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</row>
    <row r="948" spans="1:20" ht="12.75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</row>
    <row r="949" spans="1:20" ht="12.75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</row>
    <row r="950" spans="1:20" ht="12.75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</row>
    <row r="951" spans="1:20" ht="12.75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</row>
    <row r="952" spans="1:20" ht="12.75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</row>
    <row r="953" spans="1:20" ht="12.75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</row>
    <row r="954" spans="1:20" ht="12.75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</row>
    <row r="955" spans="1:20" ht="12.75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</row>
    <row r="956" spans="1:20" ht="12.75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</row>
    <row r="957" spans="1:20" ht="12.75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</row>
    <row r="958" spans="1:20" ht="12.75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</row>
    <row r="959" spans="1:20" ht="12.75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</row>
    <row r="960" spans="1:20" ht="12.75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</row>
    <row r="961" spans="1:20" ht="12.75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</row>
    <row r="962" spans="1:20" ht="12.75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</row>
    <row r="963" spans="1:20" ht="12.75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</row>
    <row r="964" spans="1:20" ht="12.75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</row>
    <row r="965" spans="1:20" ht="12.75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</row>
    <row r="966" spans="1:20" ht="12.75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</row>
    <row r="967" spans="1:20" ht="12.75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</row>
    <row r="968" spans="1:20" ht="12.75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</row>
    <row r="969" spans="1:20" ht="12.75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</row>
    <row r="970" spans="1:20" ht="12.75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</row>
    <row r="971" spans="1:20" ht="12.75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</row>
    <row r="972" spans="1:20" ht="12.75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</row>
    <row r="973" spans="1:20" ht="12.75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</row>
    <row r="974" spans="1:20" ht="12.75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</row>
    <row r="975" spans="1:20" ht="12.75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</row>
    <row r="976" spans="1:20" ht="12.75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</row>
    <row r="977" spans="1:20" ht="12.75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</row>
    <row r="978" spans="1:20" ht="12.75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</row>
    <row r="979" spans="1:20" ht="12.75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</row>
    <row r="980" spans="1:20" ht="12.75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</row>
    <row r="981" spans="1:20" ht="12.75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</row>
    <row r="982" spans="1:20" ht="12.75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</row>
    <row r="983" spans="1:20" ht="12.75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</row>
    <row r="984" spans="1:20" ht="12.75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</row>
    <row r="985" spans="1:20" ht="12.75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</row>
    <row r="986" spans="1:20" ht="12.75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</row>
    <row r="987" spans="1:20" ht="12.75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</row>
    <row r="988" spans="1:20" ht="12.75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</row>
    <row r="989" spans="1:20" ht="12.75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</row>
    <row r="990" spans="1:20" ht="12.75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</row>
    <row r="991" spans="1:20" ht="12.75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</row>
    <row r="992" spans="1:20" ht="12.75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</row>
    <row r="993" spans="1:20" ht="12.75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</row>
    <row r="994" spans="1:20" ht="12.75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</row>
    <row r="995" spans="1:20" ht="12.75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</row>
    <row r="996" spans="1:20" ht="12.75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</row>
    <row r="997" spans="1:20" ht="12.75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</row>
    <row r="998" spans="1:20" ht="12.75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</row>
    <row r="999" spans="1:20" ht="12.75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</row>
    <row r="1000" spans="1:20" ht="12.75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</row>
  </sheetData>
  <dataValidations count="5">
    <dataValidation type="list" sqref="A2">
      <formula1>"Risk,Actions,Issue,Decision"</formula1>
    </dataValidation>
    <dataValidation type="list" sqref="D2:D13">
      <formula1>"On Plan,At Risk,Behind Schedule,Complete"</formula1>
    </dataValidation>
    <dataValidation type="list" sqref="E2:E13">
      <formula1>"H,M,L"</formula1>
    </dataValidation>
    <dataValidation type="list" sqref="J2:J13">
      <formula1>"Yes,No"</formula1>
    </dataValidation>
    <dataValidation type="list" sqref="A3:A13">
      <formula1>"Issue,Action,Decision"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AU1006"/>
  <sheetViews>
    <sheetView workbookViewId="0">
      <selection activeCell="D17" sqref="D17"/>
    </sheetView>
  </sheetViews>
  <sheetFormatPr defaultColWidth="14.42578125" defaultRowHeight="15.75" customHeight="1" x14ac:dyDescent="0.2"/>
  <cols>
    <col min="1" max="1" width="21.7109375" style="2" bestFit="1" customWidth="1"/>
    <col min="2" max="3" width="3" style="2" bestFit="1" customWidth="1"/>
    <col min="4" max="6" width="3.7109375" style="2" bestFit="1" customWidth="1"/>
    <col min="7" max="7" width="3" style="2" bestFit="1" customWidth="1"/>
    <col min="8" max="10" width="3.7109375" style="2" bestFit="1" customWidth="1"/>
    <col min="11" max="11" width="3" style="2" bestFit="1" customWidth="1"/>
    <col min="12" max="14" width="3.7109375" style="2" bestFit="1" customWidth="1"/>
    <col min="15" max="16" width="3" style="2" bestFit="1" customWidth="1"/>
    <col min="17" max="19" width="3.7109375" style="2" bestFit="1" customWidth="1"/>
    <col min="20" max="20" width="3" style="2" bestFit="1" customWidth="1"/>
    <col min="21" max="23" width="3.7109375" style="2" bestFit="1" customWidth="1"/>
    <col min="24" max="24" width="3" style="2" bestFit="1" customWidth="1"/>
    <col min="25" max="27" width="3.7109375" style="2" bestFit="1" customWidth="1"/>
    <col min="28" max="29" width="3" style="2" bestFit="1" customWidth="1"/>
    <col min="30" max="32" width="3.7109375" style="2" bestFit="1" customWidth="1"/>
    <col min="33" max="33" width="3" style="2" bestFit="1" customWidth="1"/>
    <col min="34" max="36" width="3.7109375" style="2" bestFit="1" customWidth="1"/>
    <col min="37" max="37" width="3" style="2" bestFit="1" customWidth="1"/>
    <col min="38" max="42" width="3.7109375" style="2" bestFit="1" customWidth="1"/>
    <col min="43" max="45" width="4.5703125" style="2" bestFit="1" customWidth="1"/>
    <col min="46" max="46" width="3.7109375" style="2" bestFit="1" customWidth="1"/>
    <col min="47" max="47" width="4.5703125" style="2" bestFit="1" customWidth="1"/>
    <col min="48" max="16384" width="14.42578125" style="2"/>
  </cols>
  <sheetData>
    <row r="1" spans="1:47" s="50" customFormat="1" ht="15.75" customHeight="1" x14ac:dyDescent="0.2">
      <c r="A1" s="19" t="s">
        <v>208</v>
      </c>
      <c r="B1" s="49">
        <v>41640</v>
      </c>
      <c r="C1" s="49">
        <v>41647</v>
      </c>
      <c r="D1" s="49">
        <v>41654</v>
      </c>
      <c r="E1" s="49">
        <v>41661</v>
      </c>
      <c r="F1" s="49">
        <v>41668</v>
      </c>
      <c r="G1" s="49">
        <v>41675</v>
      </c>
      <c r="H1" s="49">
        <v>41682</v>
      </c>
      <c r="I1" s="49">
        <v>41689</v>
      </c>
      <c r="J1" s="49">
        <v>41696</v>
      </c>
      <c r="K1" s="49">
        <v>41703</v>
      </c>
      <c r="L1" s="49">
        <v>41710</v>
      </c>
      <c r="M1" s="49">
        <v>41717</v>
      </c>
      <c r="N1" s="49">
        <v>41724</v>
      </c>
      <c r="O1" s="49">
        <v>41731</v>
      </c>
      <c r="P1" s="49">
        <v>41738</v>
      </c>
      <c r="Q1" s="49">
        <v>41745</v>
      </c>
      <c r="R1" s="49">
        <v>41752</v>
      </c>
      <c r="S1" s="49">
        <v>41759</v>
      </c>
      <c r="T1" s="49">
        <v>41766</v>
      </c>
      <c r="U1" s="49">
        <v>41773</v>
      </c>
      <c r="V1" s="49">
        <v>41780</v>
      </c>
      <c r="W1" s="49">
        <v>41787</v>
      </c>
      <c r="X1" s="49">
        <v>41794</v>
      </c>
      <c r="Y1" s="49">
        <v>41801</v>
      </c>
      <c r="Z1" s="49">
        <v>41808</v>
      </c>
      <c r="AA1" s="49">
        <v>41815</v>
      </c>
      <c r="AB1" s="49">
        <v>41822</v>
      </c>
      <c r="AC1" s="49">
        <v>41829</v>
      </c>
      <c r="AD1" s="49">
        <v>41836</v>
      </c>
      <c r="AE1" s="49">
        <v>41843</v>
      </c>
      <c r="AF1" s="49">
        <v>41850</v>
      </c>
      <c r="AG1" s="49">
        <v>41857</v>
      </c>
      <c r="AH1" s="49">
        <v>41864</v>
      </c>
      <c r="AI1" s="49">
        <v>41871</v>
      </c>
      <c r="AJ1" s="49">
        <v>41878</v>
      </c>
      <c r="AK1" s="49">
        <v>41885</v>
      </c>
      <c r="AL1" s="49">
        <v>41892</v>
      </c>
      <c r="AM1" s="49">
        <v>41899</v>
      </c>
      <c r="AN1" s="49">
        <v>41906</v>
      </c>
      <c r="AO1" s="49">
        <v>41913</v>
      </c>
      <c r="AP1" s="49">
        <v>41920</v>
      </c>
      <c r="AQ1" s="49">
        <v>41927</v>
      </c>
      <c r="AR1" s="49">
        <v>41934</v>
      </c>
      <c r="AS1" s="49">
        <v>41941</v>
      </c>
      <c r="AT1" s="49">
        <v>41948</v>
      </c>
      <c r="AU1" s="49">
        <v>41955</v>
      </c>
    </row>
    <row r="2" spans="1:47" ht="15.75" customHeight="1" x14ac:dyDescent="0.2">
      <c r="A2" s="22" t="s">
        <v>209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0"/>
      <c r="O2" s="21"/>
      <c r="P2" s="21"/>
      <c r="Q2" s="21"/>
      <c r="R2" s="21"/>
      <c r="S2" s="21"/>
      <c r="T2" s="20"/>
      <c r="U2" s="21"/>
      <c r="V2" s="21"/>
      <c r="W2" s="21"/>
      <c r="X2" s="21"/>
      <c r="Y2" s="21"/>
      <c r="Z2" s="21"/>
      <c r="AA2" s="20"/>
      <c r="AB2" s="21"/>
      <c r="AC2" s="21"/>
      <c r="AD2" s="21"/>
      <c r="AE2" s="21"/>
      <c r="AF2" s="21"/>
      <c r="AG2" s="21"/>
      <c r="AH2" s="21"/>
      <c r="AI2" s="21"/>
      <c r="AJ2" s="20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</row>
    <row r="3" spans="1:47" ht="15.75" customHeight="1" x14ac:dyDescent="0.2">
      <c r="A3" s="24" t="s">
        <v>210</v>
      </c>
      <c r="B3" s="25"/>
      <c r="C3" s="25"/>
      <c r="D3" s="25"/>
      <c r="E3" s="25"/>
      <c r="F3" s="16"/>
      <c r="G3" s="16"/>
      <c r="H3" s="16"/>
      <c r="I3" s="16"/>
      <c r="J3" s="16"/>
      <c r="K3" s="16"/>
      <c r="L3" s="16"/>
      <c r="M3" s="16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1:47" ht="15.75" customHeight="1" x14ac:dyDescent="0.2">
      <c r="A4" s="7" t="s">
        <v>211</v>
      </c>
      <c r="B4" s="26"/>
      <c r="C4" s="26"/>
      <c r="D4" s="16"/>
      <c r="E4" s="16"/>
      <c r="F4" s="16"/>
      <c r="G4" s="16"/>
      <c r="H4" s="16"/>
      <c r="I4" s="16"/>
      <c r="J4" s="16"/>
      <c r="K4" s="16"/>
      <c r="L4" s="16"/>
      <c r="M4" s="16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</row>
    <row r="5" spans="1:47" ht="15.75" customHeight="1" x14ac:dyDescent="0.2">
      <c r="A5" s="7" t="s">
        <v>212</v>
      </c>
      <c r="B5" s="16"/>
      <c r="C5" s="26"/>
      <c r="D5" s="26"/>
      <c r="E5" s="16"/>
      <c r="F5" s="16"/>
      <c r="G5" s="16"/>
      <c r="H5" s="16"/>
      <c r="I5" s="16"/>
      <c r="J5" s="16"/>
      <c r="K5" s="16"/>
      <c r="L5" s="16"/>
      <c r="M5" s="16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</row>
    <row r="6" spans="1:47" ht="15.75" customHeight="1" x14ac:dyDescent="0.2">
      <c r="A6" s="7" t="s">
        <v>213</v>
      </c>
      <c r="B6" s="16"/>
      <c r="C6" s="26"/>
      <c r="D6" s="26"/>
      <c r="E6" s="26"/>
      <c r="F6" s="16"/>
      <c r="G6" s="16"/>
      <c r="H6" s="16"/>
      <c r="I6" s="16"/>
      <c r="J6" s="16"/>
      <c r="K6" s="16"/>
      <c r="L6" s="16"/>
      <c r="M6" s="16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</row>
    <row r="7" spans="1:47" ht="15.75" customHeight="1" x14ac:dyDescent="0.2">
      <c r="A7" s="24" t="s">
        <v>214</v>
      </c>
      <c r="B7" s="16"/>
      <c r="C7" s="16"/>
      <c r="D7" s="16"/>
      <c r="E7" s="16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</row>
    <row r="8" spans="1:47" ht="12.75" x14ac:dyDescent="0.2">
      <c r="A8" s="7" t="s">
        <v>215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8"/>
      <c r="M8" s="16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</row>
    <row r="9" spans="1:47" ht="15.75" customHeight="1" x14ac:dyDescent="0.2">
      <c r="A9" s="7" t="s">
        <v>216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</row>
    <row r="10" spans="1:47" ht="12.75" x14ac:dyDescent="0.2">
      <c r="A10" s="7" t="s">
        <v>217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8"/>
      <c r="M10" s="16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</row>
    <row r="11" spans="1:47" ht="15.75" customHeight="1" x14ac:dyDescent="0.2">
      <c r="A11" s="7" t="s">
        <v>218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</row>
    <row r="12" spans="1:47" ht="12.75" x14ac:dyDescent="0.2">
      <c r="A12" s="24" t="s">
        <v>219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8"/>
      <c r="M12" s="12"/>
      <c r="N12" s="12"/>
      <c r="O12" s="12"/>
      <c r="P12" s="12"/>
      <c r="Q12" s="12"/>
      <c r="R12" s="12"/>
      <c r="S12" s="25"/>
      <c r="T12" s="25"/>
      <c r="U12" s="25"/>
      <c r="V12" s="25"/>
      <c r="W12" s="25"/>
      <c r="X12" s="25"/>
      <c r="Y12" s="25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</row>
    <row r="13" spans="1:47" ht="15.75" customHeight="1" x14ac:dyDescent="0.2">
      <c r="A13" s="7" t="s">
        <v>220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</row>
    <row r="14" spans="1:47" ht="15.75" customHeight="1" x14ac:dyDescent="0.2">
      <c r="A14" s="7" t="s">
        <v>221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</row>
    <row r="15" spans="1:47" ht="15.75" customHeight="1" x14ac:dyDescent="0.2">
      <c r="A15" s="7" t="s">
        <v>222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</row>
    <row r="16" spans="1:47" ht="15.75" customHeight="1" x14ac:dyDescent="0.2">
      <c r="A16" s="24" t="s">
        <v>223</v>
      </c>
      <c r="B16" s="16"/>
      <c r="C16" s="16"/>
      <c r="D16" s="16"/>
      <c r="E16" s="16"/>
      <c r="F16" s="27"/>
      <c r="G16" s="27"/>
      <c r="H16" s="27"/>
      <c r="I16" s="27"/>
      <c r="J16" s="27"/>
      <c r="K16" s="16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12"/>
      <c r="AO16" s="12"/>
      <c r="AP16" s="12"/>
      <c r="AQ16" s="12"/>
      <c r="AR16" s="12"/>
      <c r="AS16" s="12"/>
      <c r="AT16" s="12"/>
      <c r="AU16" s="12"/>
    </row>
    <row r="17" spans="1:47" ht="15.75" customHeight="1" x14ac:dyDescent="0.2">
      <c r="A17" s="7" t="s">
        <v>224</v>
      </c>
      <c r="B17" s="16"/>
      <c r="C17" s="16"/>
      <c r="D17" s="16"/>
      <c r="E17" s="16"/>
      <c r="F17" s="27"/>
      <c r="G17" s="27"/>
      <c r="H17" s="27"/>
      <c r="I17" s="27"/>
      <c r="J17" s="27"/>
      <c r="K17" s="16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</row>
    <row r="18" spans="1:47" ht="15.75" customHeight="1" x14ac:dyDescent="0.2">
      <c r="A18" s="7" t="s">
        <v>225</v>
      </c>
      <c r="B18" s="16"/>
      <c r="C18" s="16"/>
      <c r="D18" s="16"/>
      <c r="E18" s="16"/>
      <c r="F18" s="27"/>
      <c r="G18" s="27"/>
      <c r="H18" s="27"/>
      <c r="I18" s="27"/>
      <c r="J18" s="27"/>
      <c r="K18" s="16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</row>
    <row r="19" spans="1:47" ht="15.75" customHeight="1" x14ac:dyDescent="0.2">
      <c r="A19" s="7" t="s">
        <v>226</v>
      </c>
      <c r="B19" s="16"/>
      <c r="C19" s="16"/>
      <c r="D19" s="16"/>
      <c r="E19" s="16"/>
      <c r="F19" s="27"/>
      <c r="G19" s="27"/>
      <c r="H19" s="27"/>
      <c r="I19" s="27"/>
      <c r="J19" s="27"/>
      <c r="K19" s="16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</row>
    <row r="20" spans="1:47" ht="15.75" customHeight="1" x14ac:dyDescent="0.2">
      <c r="A20" s="7" t="s">
        <v>227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</row>
    <row r="21" spans="1:47" ht="15.75" customHeight="1" x14ac:dyDescent="0.2">
      <c r="A21" s="7" t="s">
        <v>228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</row>
    <row r="22" spans="1:47" ht="12.75" x14ac:dyDescent="0.2">
      <c r="A22" s="24" t="s">
        <v>229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25"/>
      <c r="AO22" s="25"/>
      <c r="AP22" s="25"/>
      <c r="AQ22" s="25"/>
      <c r="AR22" s="25"/>
      <c r="AS22" s="25"/>
      <c r="AT22" s="25"/>
      <c r="AU22" s="25"/>
    </row>
    <row r="23" spans="1:47" ht="12.75" x14ac:dyDescent="0.2">
      <c r="A23" s="7" t="s">
        <v>230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</row>
    <row r="24" spans="1:47" ht="12.75" x14ac:dyDescent="0.2">
      <c r="A24" s="7" t="s">
        <v>231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</row>
    <row r="25" spans="1:47" ht="12.75" x14ac:dyDescent="0.2">
      <c r="A25" s="7" t="s">
        <v>232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</row>
    <row r="26" spans="1:47" ht="12.75" x14ac:dyDescent="0.2">
      <c r="A26" s="8"/>
    </row>
    <row r="27" spans="1:47" ht="12.75" x14ac:dyDescent="0.2">
      <c r="A27" s="8"/>
    </row>
    <row r="28" spans="1:47" ht="12.75" x14ac:dyDescent="0.2">
      <c r="A28" s="8"/>
    </row>
    <row r="29" spans="1:47" ht="12.75" x14ac:dyDescent="0.2">
      <c r="A29" s="8"/>
    </row>
    <row r="30" spans="1:47" ht="12.75" x14ac:dyDescent="0.2">
      <c r="A30" s="8"/>
    </row>
    <row r="31" spans="1:47" ht="12.75" x14ac:dyDescent="0.2">
      <c r="A31" s="8"/>
    </row>
    <row r="32" spans="1:47" ht="12.75" x14ac:dyDescent="0.2">
      <c r="A32" s="8"/>
    </row>
    <row r="33" spans="1:1" ht="12.75" x14ac:dyDescent="0.2">
      <c r="A33" s="8"/>
    </row>
    <row r="34" spans="1:1" ht="12.75" x14ac:dyDescent="0.2">
      <c r="A34" s="8"/>
    </row>
    <row r="35" spans="1:1" ht="12.75" x14ac:dyDescent="0.2">
      <c r="A35" s="8"/>
    </row>
    <row r="36" spans="1:1" ht="12.75" x14ac:dyDescent="0.2">
      <c r="A36" s="8"/>
    </row>
    <row r="37" spans="1:1" ht="12.75" x14ac:dyDescent="0.2">
      <c r="A37" s="8"/>
    </row>
    <row r="38" spans="1:1" ht="12.75" x14ac:dyDescent="0.2">
      <c r="A38" s="8"/>
    </row>
    <row r="39" spans="1:1" ht="12.75" x14ac:dyDescent="0.2">
      <c r="A39" s="8"/>
    </row>
    <row r="40" spans="1:1" ht="12.75" x14ac:dyDescent="0.2">
      <c r="A40" s="8"/>
    </row>
    <row r="41" spans="1:1" ht="12.75" x14ac:dyDescent="0.2">
      <c r="A41" s="8"/>
    </row>
    <row r="42" spans="1:1" ht="12.75" x14ac:dyDescent="0.2">
      <c r="A42" s="8"/>
    </row>
    <row r="43" spans="1:1" ht="12.75" x14ac:dyDescent="0.2">
      <c r="A43" s="8"/>
    </row>
    <row r="44" spans="1:1" ht="12.75" x14ac:dyDescent="0.2">
      <c r="A44" s="8"/>
    </row>
    <row r="45" spans="1:1" ht="12.75" x14ac:dyDescent="0.2">
      <c r="A45" s="8"/>
    </row>
    <row r="46" spans="1:1" ht="12.75" x14ac:dyDescent="0.2">
      <c r="A46" s="8"/>
    </row>
    <row r="47" spans="1:1" ht="12.75" x14ac:dyDescent="0.2">
      <c r="A47" s="8"/>
    </row>
    <row r="48" spans="1:1" ht="12.75" x14ac:dyDescent="0.2">
      <c r="A48" s="8"/>
    </row>
    <row r="49" spans="1:1" ht="12.75" x14ac:dyDescent="0.2">
      <c r="A49" s="8"/>
    </row>
    <row r="50" spans="1:1" ht="12.75" x14ac:dyDescent="0.2">
      <c r="A50" s="8"/>
    </row>
    <row r="51" spans="1:1" ht="12.75" x14ac:dyDescent="0.2">
      <c r="A51" s="8"/>
    </row>
    <row r="52" spans="1:1" ht="12.75" x14ac:dyDescent="0.2">
      <c r="A52" s="8"/>
    </row>
    <row r="53" spans="1:1" ht="12.75" x14ac:dyDescent="0.2">
      <c r="A53" s="8"/>
    </row>
    <row r="54" spans="1:1" ht="12.75" x14ac:dyDescent="0.2">
      <c r="A54" s="8"/>
    </row>
    <row r="55" spans="1:1" ht="12.75" x14ac:dyDescent="0.2">
      <c r="A55" s="8"/>
    </row>
    <row r="56" spans="1:1" ht="12.75" x14ac:dyDescent="0.2">
      <c r="A56" s="8"/>
    </row>
    <row r="57" spans="1:1" ht="12.75" x14ac:dyDescent="0.2">
      <c r="A57" s="8"/>
    </row>
    <row r="58" spans="1:1" ht="12.75" x14ac:dyDescent="0.2">
      <c r="A58" s="8"/>
    </row>
    <row r="59" spans="1:1" ht="12.75" x14ac:dyDescent="0.2">
      <c r="A59" s="8"/>
    </row>
    <row r="60" spans="1:1" ht="12.75" x14ac:dyDescent="0.2">
      <c r="A60" s="8"/>
    </row>
    <row r="61" spans="1:1" ht="12.75" x14ac:dyDescent="0.2">
      <c r="A61" s="8"/>
    </row>
    <row r="62" spans="1:1" ht="12.75" x14ac:dyDescent="0.2">
      <c r="A62" s="8"/>
    </row>
    <row r="63" spans="1:1" ht="12.75" x14ac:dyDescent="0.2">
      <c r="A63" s="8"/>
    </row>
    <row r="64" spans="1:1" ht="12.75" x14ac:dyDescent="0.2">
      <c r="A64" s="8"/>
    </row>
    <row r="65" spans="1:1" ht="12.75" x14ac:dyDescent="0.2">
      <c r="A65" s="8"/>
    </row>
    <row r="66" spans="1:1" ht="12.75" x14ac:dyDescent="0.2">
      <c r="A66" s="8"/>
    </row>
    <row r="67" spans="1:1" ht="12.75" x14ac:dyDescent="0.2">
      <c r="A67" s="8"/>
    </row>
    <row r="68" spans="1:1" ht="12.75" x14ac:dyDescent="0.2">
      <c r="A68" s="8"/>
    </row>
    <row r="69" spans="1:1" ht="12.75" x14ac:dyDescent="0.2">
      <c r="A69" s="8"/>
    </row>
    <row r="70" spans="1:1" ht="12.75" x14ac:dyDescent="0.2">
      <c r="A70" s="8"/>
    </row>
    <row r="71" spans="1:1" ht="12.75" x14ac:dyDescent="0.2">
      <c r="A71" s="8"/>
    </row>
    <row r="72" spans="1:1" ht="12.75" x14ac:dyDescent="0.2">
      <c r="A72" s="8"/>
    </row>
    <row r="73" spans="1:1" ht="12.75" x14ac:dyDescent="0.2">
      <c r="A73" s="8"/>
    </row>
    <row r="74" spans="1:1" ht="12.75" x14ac:dyDescent="0.2">
      <c r="A74" s="8"/>
    </row>
    <row r="75" spans="1:1" ht="12.75" x14ac:dyDescent="0.2">
      <c r="A75" s="8"/>
    </row>
    <row r="76" spans="1:1" ht="12.75" x14ac:dyDescent="0.2">
      <c r="A76" s="8"/>
    </row>
    <row r="77" spans="1:1" ht="12.75" x14ac:dyDescent="0.2">
      <c r="A77" s="8"/>
    </row>
    <row r="78" spans="1:1" ht="12.75" x14ac:dyDescent="0.2">
      <c r="A78" s="8"/>
    </row>
    <row r="79" spans="1:1" ht="12.75" x14ac:dyDescent="0.2">
      <c r="A79" s="8"/>
    </row>
    <row r="80" spans="1:1" ht="12.75" x14ac:dyDescent="0.2">
      <c r="A80" s="8"/>
    </row>
    <row r="81" spans="1:1" ht="12.75" x14ac:dyDescent="0.2">
      <c r="A81" s="8"/>
    </row>
    <row r="82" spans="1:1" ht="12.75" x14ac:dyDescent="0.2">
      <c r="A82" s="8"/>
    </row>
    <row r="83" spans="1:1" ht="12.75" x14ac:dyDescent="0.2">
      <c r="A83" s="8"/>
    </row>
    <row r="84" spans="1:1" ht="12.75" x14ac:dyDescent="0.2">
      <c r="A84" s="8"/>
    </row>
    <row r="85" spans="1:1" ht="12.75" x14ac:dyDescent="0.2">
      <c r="A85" s="8"/>
    </row>
    <row r="86" spans="1:1" ht="12.75" x14ac:dyDescent="0.2">
      <c r="A86" s="8"/>
    </row>
    <row r="87" spans="1:1" ht="12.75" x14ac:dyDescent="0.2">
      <c r="A87" s="8"/>
    </row>
    <row r="88" spans="1:1" ht="12.75" x14ac:dyDescent="0.2">
      <c r="A88" s="8"/>
    </row>
    <row r="89" spans="1:1" ht="12.75" x14ac:dyDescent="0.2">
      <c r="A89" s="8"/>
    </row>
    <row r="90" spans="1:1" ht="12.75" x14ac:dyDescent="0.2">
      <c r="A90" s="8"/>
    </row>
    <row r="91" spans="1:1" ht="12.75" x14ac:dyDescent="0.2">
      <c r="A91" s="8"/>
    </row>
    <row r="92" spans="1:1" ht="12.75" x14ac:dyDescent="0.2">
      <c r="A92" s="8"/>
    </row>
    <row r="93" spans="1:1" ht="12.75" x14ac:dyDescent="0.2">
      <c r="A93" s="8"/>
    </row>
    <row r="94" spans="1:1" ht="12.75" x14ac:dyDescent="0.2">
      <c r="A94" s="8"/>
    </row>
    <row r="95" spans="1:1" ht="12.75" x14ac:dyDescent="0.2">
      <c r="A95" s="8"/>
    </row>
    <row r="96" spans="1:1" ht="12.75" x14ac:dyDescent="0.2">
      <c r="A96" s="8"/>
    </row>
    <row r="97" spans="1:1" ht="12.75" x14ac:dyDescent="0.2">
      <c r="A97" s="8"/>
    </row>
    <row r="98" spans="1:1" ht="12.75" x14ac:dyDescent="0.2">
      <c r="A98" s="8"/>
    </row>
    <row r="99" spans="1:1" ht="12.75" x14ac:dyDescent="0.2">
      <c r="A99" s="8"/>
    </row>
    <row r="100" spans="1:1" ht="12.75" x14ac:dyDescent="0.2">
      <c r="A100" s="8"/>
    </row>
    <row r="101" spans="1:1" ht="12.75" x14ac:dyDescent="0.2">
      <c r="A101" s="8"/>
    </row>
    <row r="102" spans="1:1" ht="12.75" x14ac:dyDescent="0.2">
      <c r="A102" s="8"/>
    </row>
    <row r="103" spans="1:1" ht="12.75" x14ac:dyDescent="0.2">
      <c r="A103" s="8"/>
    </row>
    <row r="104" spans="1:1" ht="12.75" x14ac:dyDescent="0.2">
      <c r="A104" s="8"/>
    </row>
    <row r="105" spans="1:1" ht="12.75" x14ac:dyDescent="0.2">
      <c r="A105" s="8"/>
    </row>
    <row r="106" spans="1:1" ht="12.75" x14ac:dyDescent="0.2">
      <c r="A106" s="8"/>
    </row>
    <row r="107" spans="1:1" ht="12.75" x14ac:dyDescent="0.2">
      <c r="A107" s="8"/>
    </row>
    <row r="108" spans="1:1" ht="12.75" x14ac:dyDescent="0.2">
      <c r="A108" s="8"/>
    </row>
    <row r="109" spans="1:1" ht="12.75" x14ac:dyDescent="0.2">
      <c r="A109" s="8"/>
    </row>
    <row r="110" spans="1:1" ht="12.75" x14ac:dyDescent="0.2">
      <c r="A110" s="8"/>
    </row>
    <row r="111" spans="1:1" ht="12.75" x14ac:dyDescent="0.2">
      <c r="A111" s="8"/>
    </row>
    <row r="112" spans="1:1" ht="12.75" x14ac:dyDescent="0.2">
      <c r="A112" s="8"/>
    </row>
    <row r="113" spans="1:1" ht="12.75" x14ac:dyDescent="0.2">
      <c r="A113" s="8"/>
    </row>
    <row r="114" spans="1:1" ht="12.75" x14ac:dyDescent="0.2">
      <c r="A114" s="8"/>
    </row>
    <row r="115" spans="1:1" ht="12.75" x14ac:dyDescent="0.2">
      <c r="A115" s="8"/>
    </row>
    <row r="116" spans="1:1" ht="12.75" x14ac:dyDescent="0.2">
      <c r="A116" s="8"/>
    </row>
    <row r="117" spans="1:1" ht="12.75" x14ac:dyDescent="0.2">
      <c r="A117" s="8"/>
    </row>
    <row r="118" spans="1:1" ht="12.75" x14ac:dyDescent="0.2">
      <c r="A118" s="8"/>
    </row>
    <row r="119" spans="1:1" ht="12.75" x14ac:dyDescent="0.2">
      <c r="A119" s="8"/>
    </row>
    <row r="120" spans="1:1" ht="12.75" x14ac:dyDescent="0.2">
      <c r="A120" s="8"/>
    </row>
    <row r="121" spans="1:1" ht="12.75" x14ac:dyDescent="0.2">
      <c r="A121" s="8"/>
    </row>
    <row r="122" spans="1:1" ht="12.75" x14ac:dyDescent="0.2">
      <c r="A122" s="8"/>
    </row>
    <row r="123" spans="1:1" ht="12.75" x14ac:dyDescent="0.2">
      <c r="A123" s="8"/>
    </row>
    <row r="124" spans="1:1" ht="12.75" x14ac:dyDescent="0.2">
      <c r="A124" s="8"/>
    </row>
    <row r="125" spans="1:1" ht="12.75" x14ac:dyDescent="0.2">
      <c r="A125" s="8"/>
    </row>
    <row r="126" spans="1:1" ht="12.75" x14ac:dyDescent="0.2">
      <c r="A126" s="8"/>
    </row>
    <row r="127" spans="1:1" ht="12.75" x14ac:dyDescent="0.2">
      <c r="A127" s="8"/>
    </row>
    <row r="128" spans="1:1" ht="12.75" x14ac:dyDescent="0.2">
      <c r="A128" s="8"/>
    </row>
    <row r="129" spans="1:1" ht="12.75" x14ac:dyDescent="0.2">
      <c r="A129" s="8"/>
    </row>
    <row r="130" spans="1:1" ht="12.75" x14ac:dyDescent="0.2">
      <c r="A130" s="8"/>
    </row>
    <row r="131" spans="1:1" ht="12.75" x14ac:dyDescent="0.2">
      <c r="A131" s="8"/>
    </row>
    <row r="132" spans="1:1" ht="12.75" x14ac:dyDescent="0.2">
      <c r="A132" s="8"/>
    </row>
    <row r="133" spans="1:1" ht="12.75" x14ac:dyDescent="0.2">
      <c r="A133" s="8"/>
    </row>
    <row r="134" spans="1:1" ht="12.75" x14ac:dyDescent="0.2">
      <c r="A134" s="8"/>
    </row>
    <row r="135" spans="1:1" ht="12.75" x14ac:dyDescent="0.2">
      <c r="A135" s="8"/>
    </row>
    <row r="136" spans="1:1" ht="12.75" x14ac:dyDescent="0.2">
      <c r="A136" s="8"/>
    </row>
    <row r="137" spans="1:1" ht="12.75" x14ac:dyDescent="0.2">
      <c r="A137" s="8"/>
    </row>
    <row r="138" spans="1:1" ht="12.75" x14ac:dyDescent="0.2">
      <c r="A138" s="8"/>
    </row>
    <row r="139" spans="1:1" ht="12.75" x14ac:dyDescent="0.2">
      <c r="A139" s="8"/>
    </row>
    <row r="140" spans="1:1" ht="12.75" x14ac:dyDescent="0.2">
      <c r="A140" s="8"/>
    </row>
    <row r="141" spans="1:1" ht="12.75" x14ac:dyDescent="0.2">
      <c r="A141" s="8"/>
    </row>
    <row r="142" spans="1:1" ht="12.75" x14ac:dyDescent="0.2">
      <c r="A142" s="8"/>
    </row>
    <row r="143" spans="1:1" ht="12.75" x14ac:dyDescent="0.2">
      <c r="A143" s="8"/>
    </row>
    <row r="144" spans="1:1" ht="12.75" x14ac:dyDescent="0.2">
      <c r="A144" s="8"/>
    </row>
    <row r="145" spans="1:1" ht="12.75" x14ac:dyDescent="0.2">
      <c r="A145" s="8"/>
    </row>
    <row r="146" spans="1:1" ht="12.75" x14ac:dyDescent="0.2">
      <c r="A146" s="8"/>
    </row>
    <row r="147" spans="1:1" ht="12.75" x14ac:dyDescent="0.2">
      <c r="A147" s="8"/>
    </row>
    <row r="148" spans="1:1" ht="12.75" x14ac:dyDescent="0.2">
      <c r="A148" s="8"/>
    </row>
    <row r="149" spans="1:1" ht="12.75" x14ac:dyDescent="0.2">
      <c r="A149" s="8"/>
    </row>
    <row r="150" spans="1:1" ht="12.75" x14ac:dyDescent="0.2">
      <c r="A150" s="8"/>
    </row>
    <row r="151" spans="1:1" ht="12.75" x14ac:dyDescent="0.2">
      <c r="A151" s="8"/>
    </row>
    <row r="152" spans="1:1" ht="12.75" x14ac:dyDescent="0.2">
      <c r="A152" s="8"/>
    </row>
    <row r="153" spans="1:1" ht="12.75" x14ac:dyDescent="0.2">
      <c r="A153" s="8"/>
    </row>
    <row r="154" spans="1:1" ht="12.75" x14ac:dyDescent="0.2">
      <c r="A154" s="8"/>
    </row>
    <row r="155" spans="1:1" ht="12.75" x14ac:dyDescent="0.2">
      <c r="A155" s="8"/>
    </row>
    <row r="156" spans="1:1" ht="12.75" x14ac:dyDescent="0.2">
      <c r="A156" s="8"/>
    </row>
    <row r="157" spans="1:1" ht="12.75" x14ac:dyDescent="0.2">
      <c r="A157" s="8"/>
    </row>
    <row r="158" spans="1:1" ht="12.75" x14ac:dyDescent="0.2">
      <c r="A158" s="8"/>
    </row>
    <row r="159" spans="1:1" ht="12.75" x14ac:dyDescent="0.2">
      <c r="A159" s="8"/>
    </row>
    <row r="160" spans="1:1" ht="12.75" x14ac:dyDescent="0.2">
      <c r="A160" s="8"/>
    </row>
    <row r="161" spans="1:1" ht="12.75" x14ac:dyDescent="0.2">
      <c r="A161" s="8"/>
    </row>
    <row r="162" spans="1:1" ht="12.75" x14ac:dyDescent="0.2">
      <c r="A162" s="8"/>
    </row>
    <row r="163" spans="1:1" ht="12.75" x14ac:dyDescent="0.2">
      <c r="A163" s="8"/>
    </row>
    <row r="164" spans="1:1" ht="12.75" x14ac:dyDescent="0.2">
      <c r="A164" s="8"/>
    </row>
    <row r="165" spans="1:1" ht="12.75" x14ac:dyDescent="0.2">
      <c r="A165" s="8"/>
    </row>
    <row r="166" spans="1:1" ht="12.75" x14ac:dyDescent="0.2">
      <c r="A166" s="8"/>
    </row>
    <row r="167" spans="1:1" ht="12.75" x14ac:dyDescent="0.2">
      <c r="A167" s="8"/>
    </row>
    <row r="168" spans="1:1" ht="12.75" x14ac:dyDescent="0.2">
      <c r="A168" s="8"/>
    </row>
    <row r="169" spans="1:1" ht="12.75" x14ac:dyDescent="0.2">
      <c r="A169" s="8"/>
    </row>
    <row r="170" spans="1:1" ht="12.75" x14ac:dyDescent="0.2">
      <c r="A170" s="8"/>
    </row>
    <row r="171" spans="1:1" ht="12.75" x14ac:dyDescent="0.2">
      <c r="A171" s="8"/>
    </row>
    <row r="172" spans="1:1" ht="12.75" x14ac:dyDescent="0.2">
      <c r="A172" s="8"/>
    </row>
    <row r="173" spans="1:1" ht="12.75" x14ac:dyDescent="0.2">
      <c r="A173" s="8"/>
    </row>
    <row r="174" spans="1:1" ht="12.75" x14ac:dyDescent="0.2">
      <c r="A174" s="8"/>
    </row>
    <row r="175" spans="1:1" ht="12.75" x14ac:dyDescent="0.2">
      <c r="A175" s="8"/>
    </row>
    <row r="176" spans="1:1" ht="12.75" x14ac:dyDescent="0.2">
      <c r="A176" s="8"/>
    </row>
    <row r="177" spans="1:1" ht="12.75" x14ac:dyDescent="0.2">
      <c r="A177" s="8"/>
    </row>
    <row r="178" spans="1:1" ht="12.75" x14ac:dyDescent="0.2">
      <c r="A178" s="8"/>
    </row>
    <row r="179" spans="1:1" ht="12.75" x14ac:dyDescent="0.2">
      <c r="A179" s="8"/>
    </row>
    <row r="180" spans="1:1" ht="12.75" x14ac:dyDescent="0.2">
      <c r="A180" s="8"/>
    </row>
    <row r="181" spans="1:1" ht="12.75" x14ac:dyDescent="0.2">
      <c r="A181" s="8"/>
    </row>
    <row r="182" spans="1:1" ht="12.75" x14ac:dyDescent="0.2">
      <c r="A182" s="8"/>
    </row>
    <row r="183" spans="1:1" ht="12.75" x14ac:dyDescent="0.2">
      <c r="A183" s="8"/>
    </row>
    <row r="184" spans="1:1" ht="12.75" x14ac:dyDescent="0.2">
      <c r="A184" s="8"/>
    </row>
    <row r="185" spans="1:1" ht="12.75" x14ac:dyDescent="0.2">
      <c r="A185" s="8"/>
    </row>
    <row r="186" spans="1:1" ht="12.75" x14ac:dyDescent="0.2">
      <c r="A186" s="8"/>
    </row>
    <row r="187" spans="1:1" ht="12.75" x14ac:dyDescent="0.2">
      <c r="A187" s="8"/>
    </row>
    <row r="188" spans="1:1" ht="12.75" x14ac:dyDescent="0.2">
      <c r="A188" s="8"/>
    </row>
    <row r="189" spans="1:1" ht="12.75" x14ac:dyDescent="0.2">
      <c r="A189" s="8"/>
    </row>
    <row r="190" spans="1:1" ht="12.75" x14ac:dyDescent="0.2">
      <c r="A190" s="8"/>
    </row>
    <row r="191" spans="1:1" ht="12.75" x14ac:dyDescent="0.2">
      <c r="A191" s="8"/>
    </row>
    <row r="192" spans="1:1" ht="12.75" x14ac:dyDescent="0.2">
      <c r="A192" s="8"/>
    </row>
    <row r="193" spans="1:1" ht="12.75" x14ac:dyDescent="0.2">
      <c r="A193" s="8"/>
    </row>
    <row r="194" spans="1:1" ht="12.75" x14ac:dyDescent="0.2">
      <c r="A194" s="8"/>
    </row>
    <row r="195" spans="1:1" ht="12.75" x14ac:dyDescent="0.2">
      <c r="A195" s="8"/>
    </row>
    <row r="196" spans="1:1" ht="12.75" x14ac:dyDescent="0.2">
      <c r="A196" s="8"/>
    </row>
    <row r="197" spans="1:1" ht="12.75" x14ac:dyDescent="0.2">
      <c r="A197" s="8"/>
    </row>
    <row r="198" spans="1:1" ht="12.75" x14ac:dyDescent="0.2">
      <c r="A198" s="8"/>
    </row>
    <row r="199" spans="1:1" ht="12.75" x14ac:dyDescent="0.2">
      <c r="A199" s="8"/>
    </row>
    <row r="200" spans="1:1" ht="12.75" x14ac:dyDescent="0.2">
      <c r="A200" s="8"/>
    </row>
    <row r="201" spans="1:1" ht="12.75" x14ac:dyDescent="0.2">
      <c r="A201" s="8"/>
    </row>
    <row r="202" spans="1:1" ht="12.75" x14ac:dyDescent="0.2">
      <c r="A202" s="8"/>
    </row>
    <row r="203" spans="1:1" ht="12.75" x14ac:dyDescent="0.2">
      <c r="A203" s="8"/>
    </row>
    <row r="204" spans="1:1" ht="12.75" x14ac:dyDescent="0.2">
      <c r="A204" s="8"/>
    </row>
    <row r="205" spans="1:1" ht="12.75" x14ac:dyDescent="0.2">
      <c r="A205" s="8"/>
    </row>
    <row r="206" spans="1:1" ht="12.75" x14ac:dyDescent="0.2">
      <c r="A206" s="8"/>
    </row>
    <row r="207" spans="1:1" ht="12.75" x14ac:dyDescent="0.2">
      <c r="A207" s="8"/>
    </row>
    <row r="208" spans="1:1" ht="12.75" x14ac:dyDescent="0.2">
      <c r="A208" s="8"/>
    </row>
    <row r="209" spans="1:1" ht="12.75" x14ac:dyDescent="0.2">
      <c r="A209" s="8"/>
    </row>
    <row r="210" spans="1:1" ht="12.75" x14ac:dyDescent="0.2">
      <c r="A210" s="8"/>
    </row>
    <row r="211" spans="1:1" ht="12.75" x14ac:dyDescent="0.2">
      <c r="A211" s="8"/>
    </row>
    <row r="212" spans="1:1" ht="12.75" x14ac:dyDescent="0.2">
      <c r="A212" s="8"/>
    </row>
    <row r="213" spans="1:1" ht="12.75" x14ac:dyDescent="0.2">
      <c r="A213" s="8"/>
    </row>
    <row r="214" spans="1:1" ht="12.75" x14ac:dyDescent="0.2">
      <c r="A214" s="8"/>
    </row>
    <row r="215" spans="1:1" ht="12.75" x14ac:dyDescent="0.2">
      <c r="A215" s="8"/>
    </row>
    <row r="216" spans="1:1" ht="12.75" x14ac:dyDescent="0.2">
      <c r="A216" s="8"/>
    </row>
    <row r="217" spans="1:1" ht="12.75" x14ac:dyDescent="0.2">
      <c r="A217" s="8"/>
    </row>
    <row r="218" spans="1:1" ht="12.75" x14ac:dyDescent="0.2">
      <c r="A218" s="8"/>
    </row>
    <row r="219" spans="1:1" ht="12.75" x14ac:dyDescent="0.2">
      <c r="A219" s="8"/>
    </row>
    <row r="220" spans="1:1" ht="12.75" x14ac:dyDescent="0.2">
      <c r="A220" s="8"/>
    </row>
    <row r="221" spans="1:1" ht="12.75" x14ac:dyDescent="0.2">
      <c r="A221" s="8"/>
    </row>
    <row r="222" spans="1:1" ht="12.75" x14ac:dyDescent="0.2">
      <c r="A222" s="8"/>
    </row>
    <row r="223" spans="1:1" ht="12.75" x14ac:dyDescent="0.2">
      <c r="A223" s="8"/>
    </row>
    <row r="224" spans="1:1" ht="12.75" x14ac:dyDescent="0.2">
      <c r="A224" s="8"/>
    </row>
    <row r="225" spans="1:1" ht="12.75" x14ac:dyDescent="0.2">
      <c r="A225" s="8"/>
    </row>
    <row r="226" spans="1:1" ht="12.75" x14ac:dyDescent="0.2">
      <c r="A226" s="8"/>
    </row>
    <row r="227" spans="1:1" ht="12.75" x14ac:dyDescent="0.2">
      <c r="A227" s="8"/>
    </row>
    <row r="228" spans="1:1" ht="12.75" x14ac:dyDescent="0.2">
      <c r="A228" s="8"/>
    </row>
    <row r="229" spans="1:1" ht="12.75" x14ac:dyDescent="0.2">
      <c r="A229" s="8"/>
    </row>
    <row r="230" spans="1:1" ht="12.75" x14ac:dyDescent="0.2">
      <c r="A230" s="8"/>
    </row>
    <row r="231" spans="1:1" ht="12.75" x14ac:dyDescent="0.2">
      <c r="A231" s="8"/>
    </row>
    <row r="232" spans="1:1" ht="12.75" x14ac:dyDescent="0.2">
      <c r="A232" s="8"/>
    </row>
    <row r="233" spans="1:1" ht="12.75" x14ac:dyDescent="0.2">
      <c r="A233" s="8"/>
    </row>
    <row r="234" spans="1:1" ht="12.75" x14ac:dyDescent="0.2">
      <c r="A234" s="8"/>
    </row>
    <row r="235" spans="1:1" ht="12.75" x14ac:dyDescent="0.2">
      <c r="A235" s="8"/>
    </row>
    <row r="236" spans="1:1" ht="12.75" x14ac:dyDescent="0.2">
      <c r="A236" s="8"/>
    </row>
    <row r="237" spans="1:1" ht="12.75" x14ac:dyDescent="0.2">
      <c r="A237" s="8"/>
    </row>
    <row r="238" spans="1:1" ht="12.75" x14ac:dyDescent="0.2">
      <c r="A238" s="8"/>
    </row>
    <row r="239" spans="1:1" ht="12.75" x14ac:dyDescent="0.2">
      <c r="A239" s="8"/>
    </row>
    <row r="240" spans="1:1" ht="12.75" x14ac:dyDescent="0.2">
      <c r="A240" s="8"/>
    </row>
    <row r="241" spans="1:1" ht="12.75" x14ac:dyDescent="0.2">
      <c r="A241" s="8"/>
    </row>
    <row r="242" spans="1:1" ht="12.75" x14ac:dyDescent="0.2">
      <c r="A242" s="8"/>
    </row>
    <row r="243" spans="1:1" ht="12.75" x14ac:dyDescent="0.2">
      <c r="A243" s="8"/>
    </row>
    <row r="244" spans="1:1" ht="12.75" x14ac:dyDescent="0.2">
      <c r="A244" s="8"/>
    </row>
    <row r="245" spans="1:1" ht="12.75" x14ac:dyDescent="0.2">
      <c r="A245" s="8"/>
    </row>
    <row r="246" spans="1:1" ht="12.75" x14ac:dyDescent="0.2">
      <c r="A246" s="8"/>
    </row>
    <row r="247" spans="1:1" ht="12.75" x14ac:dyDescent="0.2">
      <c r="A247" s="8"/>
    </row>
    <row r="248" spans="1:1" ht="12.75" x14ac:dyDescent="0.2">
      <c r="A248" s="8"/>
    </row>
    <row r="249" spans="1:1" ht="12.75" x14ac:dyDescent="0.2">
      <c r="A249" s="8"/>
    </row>
    <row r="250" spans="1:1" ht="12.75" x14ac:dyDescent="0.2">
      <c r="A250" s="8"/>
    </row>
    <row r="251" spans="1:1" ht="12.75" x14ac:dyDescent="0.2">
      <c r="A251" s="8"/>
    </row>
    <row r="252" spans="1:1" ht="12.75" x14ac:dyDescent="0.2">
      <c r="A252" s="8"/>
    </row>
    <row r="253" spans="1:1" ht="12.75" x14ac:dyDescent="0.2">
      <c r="A253" s="8"/>
    </row>
    <row r="254" spans="1:1" ht="12.75" x14ac:dyDescent="0.2">
      <c r="A254" s="8"/>
    </row>
    <row r="255" spans="1:1" ht="12.75" x14ac:dyDescent="0.2">
      <c r="A255" s="8"/>
    </row>
    <row r="256" spans="1:1" ht="12.75" x14ac:dyDescent="0.2">
      <c r="A256" s="8"/>
    </row>
    <row r="257" spans="1:1" ht="12.75" x14ac:dyDescent="0.2">
      <c r="A257" s="8"/>
    </row>
    <row r="258" spans="1:1" ht="12.75" x14ac:dyDescent="0.2">
      <c r="A258" s="8"/>
    </row>
    <row r="259" spans="1:1" ht="12.75" x14ac:dyDescent="0.2">
      <c r="A259" s="8"/>
    </row>
    <row r="260" spans="1:1" ht="12.75" x14ac:dyDescent="0.2">
      <c r="A260" s="8"/>
    </row>
    <row r="261" spans="1:1" ht="12.75" x14ac:dyDescent="0.2">
      <c r="A261" s="8"/>
    </row>
    <row r="262" spans="1:1" ht="12.75" x14ac:dyDescent="0.2">
      <c r="A262" s="8"/>
    </row>
    <row r="263" spans="1:1" ht="12.75" x14ac:dyDescent="0.2">
      <c r="A263" s="8"/>
    </row>
    <row r="264" spans="1:1" ht="12.75" x14ac:dyDescent="0.2">
      <c r="A264" s="8"/>
    </row>
    <row r="265" spans="1:1" ht="12.75" x14ac:dyDescent="0.2">
      <c r="A265" s="8"/>
    </row>
    <row r="266" spans="1:1" ht="12.75" x14ac:dyDescent="0.2">
      <c r="A266" s="8"/>
    </row>
    <row r="267" spans="1:1" ht="12.75" x14ac:dyDescent="0.2">
      <c r="A267" s="8"/>
    </row>
    <row r="268" spans="1:1" ht="12.75" x14ac:dyDescent="0.2">
      <c r="A268" s="8"/>
    </row>
    <row r="269" spans="1:1" ht="12.75" x14ac:dyDescent="0.2">
      <c r="A269" s="8"/>
    </row>
    <row r="270" spans="1:1" ht="12.75" x14ac:dyDescent="0.2">
      <c r="A270" s="8"/>
    </row>
    <row r="271" spans="1:1" ht="12.75" x14ac:dyDescent="0.2">
      <c r="A271" s="8"/>
    </row>
    <row r="272" spans="1:1" ht="12.75" x14ac:dyDescent="0.2">
      <c r="A272" s="8"/>
    </row>
    <row r="273" spans="1:1" ht="12.75" x14ac:dyDescent="0.2">
      <c r="A273" s="8"/>
    </row>
    <row r="274" spans="1:1" ht="12.75" x14ac:dyDescent="0.2">
      <c r="A274" s="8"/>
    </row>
    <row r="275" spans="1:1" ht="12.75" x14ac:dyDescent="0.2">
      <c r="A275" s="8"/>
    </row>
    <row r="276" spans="1:1" ht="12.75" x14ac:dyDescent="0.2">
      <c r="A276" s="8"/>
    </row>
    <row r="277" spans="1:1" ht="12.75" x14ac:dyDescent="0.2">
      <c r="A277" s="8"/>
    </row>
    <row r="278" spans="1:1" ht="12.75" x14ac:dyDescent="0.2">
      <c r="A278" s="8"/>
    </row>
    <row r="279" spans="1:1" ht="12.75" x14ac:dyDescent="0.2">
      <c r="A279" s="8"/>
    </row>
    <row r="280" spans="1:1" ht="12.75" x14ac:dyDescent="0.2">
      <c r="A280" s="8"/>
    </row>
    <row r="281" spans="1:1" ht="12.75" x14ac:dyDescent="0.2">
      <c r="A281" s="8"/>
    </row>
    <row r="282" spans="1:1" ht="12.75" x14ac:dyDescent="0.2">
      <c r="A282" s="8"/>
    </row>
    <row r="283" spans="1:1" ht="12.75" x14ac:dyDescent="0.2">
      <c r="A283" s="8"/>
    </row>
    <row r="284" spans="1:1" ht="12.75" x14ac:dyDescent="0.2">
      <c r="A284" s="8"/>
    </row>
    <row r="285" spans="1:1" ht="12.75" x14ac:dyDescent="0.2">
      <c r="A285" s="8"/>
    </row>
    <row r="286" spans="1:1" ht="12.75" x14ac:dyDescent="0.2">
      <c r="A286" s="8"/>
    </row>
    <row r="287" spans="1:1" ht="12.75" x14ac:dyDescent="0.2">
      <c r="A287" s="8"/>
    </row>
    <row r="288" spans="1:1" ht="12.75" x14ac:dyDescent="0.2">
      <c r="A288" s="8"/>
    </row>
    <row r="289" spans="1:1" ht="12.75" x14ac:dyDescent="0.2">
      <c r="A289" s="8"/>
    </row>
    <row r="290" spans="1:1" ht="12.75" x14ac:dyDescent="0.2">
      <c r="A290" s="8"/>
    </row>
    <row r="291" spans="1:1" ht="12.75" x14ac:dyDescent="0.2">
      <c r="A291" s="8"/>
    </row>
    <row r="292" spans="1:1" ht="12.75" x14ac:dyDescent="0.2">
      <c r="A292" s="8"/>
    </row>
    <row r="293" spans="1:1" ht="12.75" x14ac:dyDescent="0.2">
      <c r="A293" s="8"/>
    </row>
    <row r="294" spans="1:1" ht="12.75" x14ac:dyDescent="0.2">
      <c r="A294" s="8"/>
    </row>
    <row r="295" spans="1:1" ht="12.75" x14ac:dyDescent="0.2">
      <c r="A295" s="8"/>
    </row>
    <row r="296" spans="1:1" ht="12.75" x14ac:dyDescent="0.2">
      <c r="A296" s="8"/>
    </row>
    <row r="297" spans="1:1" ht="12.75" x14ac:dyDescent="0.2">
      <c r="A297" s="8"/>
    </row>
    <row r="298" spans="1:1" ht="12.75" x14ac:dyDescent="0.2">
      <c r="A298" s="8"/>
    </row>
    <row r="299" spans="1:1" ht="12.75" x14ac:dyDescent="0.2">
      <c r="A299" s="8"/>
    </row>
    <row r="300" spans="1:1" ht="12.75" x14ac:dyDescent="0.2">
      <c r="A300" s="8"/>
    </row>
    <row r="301" spans="1:1" ht="12.75" x14ac:dyDescent="0.2">
      <c r="A301" s="8"/>
    </row>
    <row r="302" spans="1:1" ht="12.75" x14ac:dyDescent="0.2">
      <c r="A302" s="8"/>
    </row>
    <row r="303" spans="1:1" ht="12.75" x14ac:dyDescent="0.2">
      <c r="A303" s="8"/>
    </row>
    <row r="304" spans="1:1" ht="12.75" x14ac:dyDescent="0.2">
      <c r="A304" s="8"/>
    </row>
    <row r="305" spans="1:1" ht="12.75" x14ac:dyDescent="0.2">
      <c r="A305" s="8"/>
    </row>
    <row r="306" spans="1:1" ht="12.75" x14ac:dyDescent="0.2">
      <c r="A306" s="8"/>
    </row>
    <row r="307" spans="1:1" ht="12.75" x14ac:dyDescent="0.2">
      <c r="A307" s="8"/>
    </row>
    <row r="308" spans="1:1" ht="12.75" x14ac:dyDescent="0.2">
      <c r="A308" s="8"/>
    </row>
    <row r="309" spans="1:1" ht="12.75" x14ac:dyDescent="0.2">
      <c r="A309" s="8"/>
    </row>
    <row r="310" spans="1:1" ht="12.75" x14ac:dyDescent="0.2">
      <c r="A310" s="8"/>
    </row>
    <row r="311" spans="1:1" ht="12.75" x14ac:dyDescent="0.2">
      <c r="A311" s="8"/>
    </row>
    <row r="312" spans="1:1" ht="12.75" x14ac:dyDescent="0.2">
      <c r="A312" s="8"/>
    </row>
    <row r="313" spans="1:1" ht="12.75" x14ac:dyDescent="0.2">
      <c r="A313" s="8"/>
    </row>
    <row r="314" spans="1:1" ht="12.75" x14ac:dyDescent="0.2">
      <c r="A314" s="8"/>
    </row>
    <row r="315" spans="1:1" ht="12.75" x14ac:dyDescent="0.2">
      <c r="A315" s="8"/>
    </row>
    <row r="316" spans="1:1" ht="12.75" x14ac:dyDescent="0.2">
      <c r="A316" s="8"/>
    </row>
    <row r="317" spans="1:1" ht="12.75" x14ac:dyDescent="0.2">
      <c r="A317" s="8"/>
    </row>
    <row r="318" spans="1:1" ht="12.75" x14ac:dyDescent="0.2">
      <c r="A318" s="8"/>
    </row>
    <row r="319" spans="1:1" ht="12.75" x14ac:dyDescent="0.2">
      <c r="A319" s="8"/>
    </row>
    <row r="320" spans="1:1" ht="12.75" x14ac:dyDescent="0.2">
      <c r="A320" s="8"/>
    </row>
    <row r="321" spans="1:1" ht="12.75" x14ac:dyDescent="0.2">
      <c r="A321" s="8"/>
    </row>
    <row r="322" spans="1:1" ht="12.75" x14ac:dyDescent="0.2">
      <c r="A322" s="8"/>
    </row>
    <row r="323" spans="1:1" ht="12.75" x14ac:dyDescent="0.2">
      <c r="A323" s="8"/>
    </row>
    <row r="324" spans="1:1" ht="12.75" x14ac:dyDescent="0.2">
      <c r="A324" s="8"/>
    </row>
    <row r="325" spans="1:1" ht="12.75" x14ac:dyDescent="0.2">
      <c r="A325" s="8"/>
    </row>
    <row r="326" spans="1:1" ht="12.75" x14ac:dyDescent="0.2">
      <c r="A326" s="8"/>
    </row>
    <row r="327" spans="1:1" ht="12.75" x14ac:dyDescent="0.2">
      <c r="A327" s="8"/>
    </row>
    <row r="328" spans="1:1" ht="12.75" x14ac:dyDescent="0.2">
      <c r="A328" s="8"/>
    </row>
    <row r="329" spans="1:1" ht="12.75" x14ac:dyDescent="0.2">
      <c r="A329" s="8"/>
    </row>
    <row r="330" spans="1:1" ht="12.75" x14ac:dyDescent="0.2">
      <c r="A330" s="8"/>
    </row>
    <row r="331" spans="1:1" ht="12.75" x14ac:dyDescent="0.2">
      <c r="A331" s="8"/>
    </row>
    <row r="332" spans="1:1" ht="12.75" x14ac:dyDescent="0.2">
      <c r="A332" s="8"/>
    </row>
    <row r="333" spans="1:1" ht="12.75" x14ac:dyDescent="0.2">
      <c r="A333" s="8"/>
    </row>
    <row r="334" spans="1:1" ht="12.75" x14ac:dyDescent="0.2">
      <c r="A334" s="8"/>
    </row>
    <row r="335" spans="1:1" ht="12.75" x14ac:dyDescent="0.2">
      <c r="A335" s="8"/>
    </row>
    <row r="336" spans="1:1" ht="12.75" x14ac:dyDescent="0.2">
      <c r="A336" s="8"/>
    </row>
    <row r="337" spans="1:1" ht="12.75" x14ac:dyDescent="0.2">
      <c r="A337" s="8"/>
    </row>
    <row r="338" spans="1:1" ht="12.75" x14ac:dyDescent="0.2">
      <c r="A338" s="8"/>
    </row>
    <row r="339" spans="1:1" ht="12.75" x14ac:dyDescent="0.2">
      <c r="A339" s="8"/>
    </row>
    <row r="340" spans="1:1" ht="12.75" x14ac:dyDescent="0.2">
      <c r="A340" s="8"/>
    </row>
    <row r="341" spans="1:1" ht="12.75" x14ac:dyDescent="0.2">
      <c r="A341" s="8"/>
    </row>
    <row r="342" spans="1:1" ht="12.75" x14ac:dyDescent="0.2">
      <c r="A342" s="8"/>
    </row>
    <row r="343" spans="1:1" ht="12.75" x14ac:dyDescent="0.2">
      <c r="A343" s="8"/>
    </row>
    <row r="344" spans="1:1" ht="12.75" x14ac:dyDescent="0.2">
      <c r="A344" s="8"/>
    </row>
    <row r="345" spans="1:1" ht="12.75" x14ac:dyDescent="0.2">
      <c r="A345" s="8"/>
    </row>
    <row r="346" spans="1:1" ht="12.75" x14ac:dyDescent="0.2">
      <c r="A346" s="8"/>
    </row>
    <row r="347" spans="1:1" ht="12.75" x14ac:dyDescent="0.2">
      <c r="A347" s="8"/>
    </row>
    <row r="348" spans="1:1" ht="12.75" x14ac:dyDescent="0.2">
      <c r="A348" s="8"/>
    </row>
    <row r="349" spans="1:1" ht="12.75" x14ac:dyDescent="0.2">
      <c r="A349" s="8"/>
    </row>
    <row r="350" spans="1:1" ht="12.75" x14ac:dyDescent="0.2">
      <c r="A350" s="8"/>
    </row>
    <row r="351" spans="1:1" ht="12.75" x14ac:dyDescent="0.2">
      <c r="A351" s="8"/>
    </row>
    <row r="352" spans="1:1" ht="12.75" x14ac:dyDescent="0.2">
      <c r="A352" s="8"/>
    </row>
    <row r="353" spans="1:1" ht="12.75" x14ac:dyDescent="0.2">
      <c r="A353" s="8"/>
    </row>
    <row r="354" spans="1:1" ht="12.75" x14ac:dyDescent="0.2">
      <c r="A354" s="8"/>
    </row>
    <row r="355" spans="1:1" ht="12.75" x14ac:dyDescent="0.2">
      <c r="A355" s="8"/>
    </row>
    <row r="356" spans="1:1" ht="12.75" x14ac:dyDescent="0.2">
      <c r="A356" s="8"/>
    </row>
    <row r="357" spans="1:1" ht="12.75" x14ac:dyDescent="0.2">
      <c r="A357" s="8"/>
    </row>
    <row r="358" spans="1:1" ht="12.75" x14ac:dyDescent="0.2">
      <c r="A358" s="8"/>
    </row>
    <row r="359" spans="1:1" ht="12.75" x14ac:dyDescent="0.2">
      <c r="A359" s="8"/>
    </row>
    <row r="360" spans="1:1" ht="12.75" x14ac:dyDescent="0.2">
      <c r="A360" s="8"/>
    </row>
    <row r="361" spans="1:1" ht="12.75" x14ac:dyDescent="0.2">
      <c r="A361" s="8"/>
    </row>
    <row r="362" spans="1:1" ht="12.75" x14ac:dyDescent="0.2">
      <c r="A362" s="8"/>
    </row>
    <row r="363" spans="1:1" ht="12.75" x14ac:dyDescent="0.2">
      <c r="A363" s="8"/>
    </row>
    <row r="364" spans="1:1" ht="12.75" x14ac:dyDescent="0.2">
      <c r="A364" s="8"/>
    </row>
    <row r="365" spans="1:1" ht="12.75" x14ac:dyDescent="0.2">
      <c r="A365" s="8"/>
    </row>
    <row r="366" spans="1:1" ht="12.75" x14ac:dyDescent="0.2">
      <c r="A366" s="8"/>
    </row>
    <row r="367" spans="1:1" ht="12.75" x14ac:dyDescent="0.2">
      <c r="A367" s="8"/>
    </row>
    <row r="368" spans="1:1" ht="12.75" x14ac:dyDescent="0.2">
      <c r="A368" s="8"/>
    </row>
    <row r="369" spans="1:1" ht="12.75" x14ac:dyDescent="0.2">
      <c r="A369" s="8"/>
    </row>
    <row r="370" spans="1:1" ht="12.75" x14ac:dyDescent="0.2">
      <c r="A370" s="8"/>
    </row>
    <row r="371" spans="1:1" ht="12.75" x14ac:dyDescent="0.2">
      <c r="A371" s="8"/>
    </row>
    <row r="372" spans="1:1" ht="12.75" x14ac:dyDescent="0.2">
      <c r="A372" s="8"/>
    </row>
    <row r="373" spans="1:1" ht="12.75" x14ac:dyDescent="0.2">
      <c r="A373" s="8"/>
    </row>
    <row r="374" spans="1:1" ht="12.75" x14ac:dyDescent="0.2">
      <c r="A374" s="8"/>
    </row>
    <row r="375" spans="1:1" ht="12.75" x14ac:dyDescent="0.2">
      <c r="A375" s="8"/>
    </row>
    <row r="376" spans="1:1" ht="12.75" x14ac:dyDescent="0.2">
      <c r="A376" s="8"/>
    </row>
    <row r="377" spans="1:1" ht="12.75" x14ac:dyDescent="0.2">
      <c r="A377" s="8"/>
    </row>
    <row r="378" spans="1:1" ht="12.75" x14ac:dyDescent="0.2">
      <c r="A378" s="8"/>
    </row>
    <row r="379" spans="1:1" ht="12.75" x14ac:dyDescent="0.2">
      <c r="A379" s="8"/>
    </row>
    <row r="380" spans="1:1" ht="12.75" x14ac:dyDescent="0.2">
      <c r="A380" s="8"/>
    </row>
    <row r="381" spans="1:1" ht="12.75" x14ac:dyDescent="0.2">
      <c r="A381" s="8"/>
    </row>
    <row r="382" spans="1:1" ht="12.75" x14ac:dyDescent="0.2">
      <c r="A382" s="8"/>
    </row>
    <row r="383" spans="1:1" ht="12.75" x14ac:dyDescent="0.2">
      <c r="A383" s="8"/>
    </row>
    <row r="384" spans="1:1" ht="12.75" x14ac:dyDescent="0.2">
      <c r="A384" s="8"/>
    </row>
    <row r="385" spans="1:1" ht="12.75" x14ac:dyDescent="0.2">
      <c r="A385" s="8"/>
    </row>
    <row r="386" spans="1:1" ht="12.75" x14ac:dyDescent="0.2">
      <c r="A386" s="8"/>
    </row>
    <row r="387" spans="1:1" ht="12.75" x14ac:dyDescent="0.2">
      <c r="A387" s="8"/>
    </row>
    <row r="388" spans="1:1" ht="12.75" x14ac:dyDescent="0.2">
      <c r="A388" s="8"/>
    </row>
    <row r="389" spans="1:1" ht="12.75" x14ac:dyDescent="0.2">
      <c r="A389" s="8"/>
    </row>
    <row r="390" spans="1:1" ht="12.75" x14ac:dyDescent="0.2">
      <c r="A390" s="8"/>
    </row>
    <row r="391" spans="1:1" ht="12.75" x14ac:dyDescent="0.2">
      <c r="A391" s="8"/>
    </row>
    <row r="392" spans="1:1" ht="12.75" x14ac:dyDescent="0.2">
      <c r="A392" s="8"/>
    </row>
    <row r="393" spans="1:1" ht="12.75" x14ac:dyDescent="0.2">
      <c r="A393" s="8"/>
    </row>
    <row r="394" spans="1:1" ht="12.75" x14ac:dyDescent="0.2">
      <c r="A394" s="8"/>
    </row>
    <row r="395" spans="1:1" ht="12.75" x14ac:dyDescent="0.2">
      <c r="A395" s="8"/>
    </row>
    <row r="396" spans="1:1" ht="12.75" x14ac:dyDescent="0.2">
      <c r="A396" s="8"/>
    </row>
    <row r="397" spans="1:1" ht="12.75" x14ac:dyDescent="0.2">
      <c r="A397" s="8"/>
    </row>
    <row r="398" spans="1:1" ht="12.75" x14ac:dyDescent="0.2">
      <c r="A398" s="8"/>
    </row>
    <row r="399" spans="1:1" ht="12.75" x14ac:dyDescent="0.2">
      <c r="A399" s="8"/>
    </row>
    <row r="400" spans="1:1" ht="12.75" x14ac:dyDescent="0.2">
      <c r="A400" s="8"/>
    </row>
    <row r="401" spans="1:1" ht="12.75" x14ac:dyDescent="0.2">
      <c r="A401" s="8"/>
    </row>
    <row r="402" spans="1:1" ht="12.75" x14ac:dyDescent="0.2">
      <c r="A402" s="8"/>
    </row>
    <row r="403" spans="1:1" ht="12.75" x14ac:dyDescent="0.2">
      <c r="A403" s="8"/>
    </row>
    <row r="404" spans="1:1" ht="12.75" x14ac:dyDescent="0.2">
      <c r="A404" s="8"/>
    </row>
    <row r="405" spans="1:1" ht="12.75" x14ac:dyDescent="0.2">
      <c r="A405" s="8"/>
    </row>
    <row r="406" spans="1:1" ht="12.75" x14ac:dyDescent="0.2">
      <c r="A406" s="8"/>
    </row>
    <row r="407" spans="1:1" ht="12.75" x14ac:dyDescent="0.2">
      <c r="A407" s="8"/>
    </row>
    <row r="408" spans="1:1" ht="12.75" x14ac:dyDescent="0.2">
      <c r="A408" s="8"/>
    </row>
    <row r="409" spans="1:1" ht="12.75" x14ac:dyDescent="0.2">
      <c r="A409" s="8"/>
    </row>
    <row r="410" spans="1:1" ht="12.75" x14ac:dyDescent="0.2">
      <c r="A410" s="8"/>
    </row>
    <row r="411" spans="1:1" ht="12.75" x14ac:dyDescent="0.2">
      <c r="A411" s="8"/>
    </row>
    <row r="412" spans="1:1" ht="12.75" x14ac:dyDescent="0.2">
      <c r="A412" s="8"/>
    </row>
    <row r="413" spans="1:1" ht="12.75" x14ac:dyDescent="0.2">
      <c r="A413" s="8"/>
    </row>
    <row r="414" spans="1:1" ht="12.75" x14ac:dyDescent="0.2">
      <c r="A414" s="8"/>
    </row>
    <row r="415" spans="1:1" ht="12.75" x14ac:dyDescent="0.2">
      <c r="A415" s="8"/>
    </row>
    <row r="416" spans="1:1" ht="12.75" x14ac:dyDescent="0.2">
      <c r="A416" s="8"/>
    </row>
    <row r="417" spans="1:1" ht="12.75" x14ac:dyDescent="0.2">
      <c r="A417" s="8"/>
    </row>
    <row r="418" spans="1:1" ht="12.75" x14ac:dyDescent="0.2">
      <c r="A418" s="8"/>
    </row>
    <row r="419" spans="1:1" ht="12.75" x14ac:dyDescent="0.2">
      <c r="A419" s="8"/>
    </row>
    <row r="420" spans="1:1" ht="12.75" x14ac:dyDescent="0.2">
      <c r="A420" s="8"/>
    </row>
    <row r="421" spans="1:1" ht="12.75" x14ac:dyDescent="0.2">
      <c r="A421" s="8"/>
    </row>
    <row r="422" spans="1:1" ht="12.75" x14ac:dyDescent="0.2">
      <c r="A422" s="8"/>
    </row>
    <row r="423" spans="1:1" ht="12.75" x14ac:dyDescent="0.2">
      <c r="A423" s="8"/>
    </row>
    <row r="424" spans="1:1" ht="12.75" x14ac:dyDescent="0.2">
      <c r="A424" s="8"/>
    </row>
    <row r="425" spans="1:1" ht="12.75" x14ac:dyDescent="0.2">
      <c r="A425" s="8"/>
    </row>
    <row r="426" spans="1:1" ht="12.75" x14ac:dyDescent="0.2">
      <c r="A426" s="8"/>
    </row>
    <row r="427" spans="1:1" ht="12.75" x14ac:dyDescent="0.2">
      <c r="A427" s="8"/>
    </row>
    <row r="428" spans="1:1" ht="12.75" x14ac:dyDescent="0.2">
      <c r="A428" s="8"/>
    </row>
    <row r="429" spans="1:1" ht="12.75" x14ac:dyDescent="0.2">
      <c r="A429" s="8"/>
    </row>
    <row r="430" spans="1:1" ht="12.75" x14ac:dyDescent="0.2">
      <c r="A430" s="8"/>
    </row>
    <row r="431" spans="1:1" ht="12.75" x14ac:dyDescent="0.2">
      <c r="A431" s="8"/>
    </row>
    <row r="432" spans="1:1" ht="12.75" x14ac:dyDescent="0.2">
      <c r="A432" s="8"/>
    </row>
    <row r="433" spans="1:1" ht="12.75" x14ac:dyDescent="0.2">
      <c r="A433" s="8"/>
    </row>
    <row r="434" spans="1:1" ht="12.75" x14ac:dyDescent="0.2">
      <c r="A434" s="8"/>
    </row>
    <row r="435" spans="1:1" ht="12.75" x14ac:dyDescent="0.2">
      <c r="A435" s="8"/>
    </row>
    <row r="436" spans="1:1" ht="12.75" x14ac:dyDescent="0.2">
      <c r="A436" s="8"/>
    </row>
    <row r="437" spans="1:1" ht="12.75" x14ac:dyDescent="0.2">
      <c r="A437" s="8"/>
    </row>
    <row r="438" spans="1:1" ht="12.75" x14ac:dyDescent="0.2">
      <c r="A438" s="8"/>
    </row>
    <row r="439" spans="1:1" ht="12.75" x14ac:dyDescent="0.2">
      <c r="A439" s="8"/>
    </row>
    <row r="440" spans="1:1" ht="12.75" x14ac:dyDescent="0.2">
      <c r="A440" s="8"/>
    </row>
    <row r="441" spans="1:1" ht="12.75" x14ac:dyDescent="0.2">
      <c r="A441" s="8"/>
    </row>
    <row r="442" spans="1:1" ht="12.75" x14ac:dyDescent="0.2">
      <c r="A442" s="8"/>
    </row>
    <row r="443" spans="1:1" ht="12.75" x14ac:dyDescent="0.2">
      <c r="A443" s="8"/>
    </row>
    <row r="444" spans="1:1" ht="12.75" x14ac:dyDescent="0.2">
      <c r="A444" s="8"/>
    </row>
    <row r="445" spans="1:1" ht="12.75" x14ac:dyDescent="0.2">
      <c r="A445" s="8"/>
    </row>
    <row r="446" spans="1:1" ht="12.75" x14ac:dyDescent="0.2">
      <c r="A446" s="8"/>
    </row>
    <row r="447" spans="1:1" ht="12.75" x14ac:dyDescent="0.2">
      <c r="A447" s="8"/>
    </row>
    <row r="448" spans="1:1" ht="12.75" x14ac:dyDescent="0.2">
      <c r="A448" s="8"/>
    </row>
    <row r="449" spans="1:1" ht="12.75" x14ac:dyDescent="0.2">
      <c r="A449" s="8"/>
    </row>
    <row r="450" spans="1:1" ht="12.75" x14ac:dyDescent="0.2">
      <c r="A450" s="8"/>
    </row>
    <row r="451" spans="1:1" ht="12.75" x14ac:dyDescent="0.2">
      <c r="A451" s="8"/>
    </row>
    <row r="452" spans="1:1" ht="12.75" x14ac:dyDescent="0.2">
      <c r="A452" s="8"/>
    </row>
    <row r="453" spans="1:1" ht="12.75" x14ac:dyDescent="0.2">
      <c r="A453" s="8"/>
    </row>
    <row r="454" spans="1:1" ht="12.75" x14ac:dyDescent="0.2">
      <c r="A454" s="8"/>
    </row>
    <row r="455" spans="1:1" ht="12.75" x14ac:dyDescent="0.2">
      <c r="A455" s="8"/>
    </row>
    <row r="456" spans="1:1" ht="12.75" x14ac:dyDescent="0.2">
      <c r="A456" s="8"/>
    </row>
    <row r="457" spans="1:1" ht="12.75" x14ac:dyDescent="0.2">
      <c r="A457" s="8"/>
    </row>
    <row r="458" spans="1:1" ht="12.75" x14ac:dyDescent="0.2">
      <c r="A458" s="8"/>
    </row>
    <row r="459" spans="1:1" ht="12.75" x14ac:dyDescent="0.2">
      <c r="A459" s="8"/>
    </row>
    <row r="460" spans="1:1" ht="12.75" x14ac:dyDescent="0.2">
      <c r="A460" s="8"/>
    </row>
    <row r="461" spans="1:1" ht="12.75" x14ac:dyDescent="0.2">
      <c r="A461" s="8"/>
    </row>
    <row r="462" spans="1:1" ht="12.75" x14ac:dyDescent="0.2">
      <c r="A462" s="8"/>
    </row>
    <row r="463" spans="1:1" ht="12.75" x14ac:dyDescent="0.2">
      <c r="A463" s="8"/>
    </row>
    <row r="464" spans="1:1" ht="12.75" x14ac:dyDescent="0.2">
      <c r="A464" s="8"/>
    </row>
    <row r="465" spans="1:1" ht="12.75" x14ac:dyDescent="0.2">
      <c r="A465" s="8"/>
    </row>
    <row r="466" spans="1:1" ht="12.75" x14ac:dyDescent="0.2">
      <c r="A466" s="8"/>
    </row>
    <row r="467" spans="1:1" ht="12.75" x14ac:dyDescent="0.2">
      <c r="A467" s="8"/>
    </row>
    <row r="468" spans="1:1" ht="12.75" x14ac:dyDescent="0.2">
      <c r="A468" s="8"/>
    </row>
    <row r="469" spans="1:1" ht="12.75" x14ac:dyDescent="0.2">
      <c r="A469" s="8"/>
    </row>
    <row r="470" spans="1:1" ht="12.75" x14ac:dyDescent="0.2">
      <c r="A470" s="8"/>
    </row>
    <row r="471" spans="1:1" ht="12.75" x14ac:dyDescent="0.2">
      <c r="A471" s="8"/>
    </row>
    <row r="472" spans="1:1" ht="12.75" x14ac:dyDescent="0.2">
      <c r="A472" s="8"/>
    </row>
    <row r="473" spans="1:1" ht="12.75" x14ac:dyDescent="0.2">
      <c r="A473" s="8"/>
    </row>
    <row r="474" spans="1:1" ht="12.75" x14ac:dyDescent="0.2">
      <c r="A474" s="8"/>
    </row>
    <row r="475" spans="1:1" ht="12.75" x14ac:dyDescent="0.2">
      <c r="A475" s="8"/>
    </row>
    <row r="476" spans="1:1" ht="12.75" x14ac:dyDescent="0.2">
      <c r="A476" s="8"/>
    </row>
    <row r="477" spans="1:1" ht="12.75" x14ac:dyDescent="0.2">
      <c r="A477" s="8"/>
    </row>
    <row r="478" spans="1:1" ht="12.75" x14ac:dyDescent="0.2">
      <c r="A478" s="8"/>
    </row>
    <row r="479" spans="1:1" ht="12.75" x14ac:dyDescent="0.2">
      <c r="A479" s="8"/>
    </row>
    <row r="480" spans="1:1" ht="12.75" x14ac:dyDescent="0.2">
      <c r="A480" s="8"/>
    </row>
    <row r="481" spans="1:1" ht="12.75" x14ac:dyDescent="0.2">
      <c r="A481" s="8"/>
    </row>
    <row r="482" spans="1:1" ht="12.75" x14ac:dyDescent="0.2">
      <c r="A482" s="8"/>
    </row>
    <row r="483" spans="1:1" ht="12.75" x14ac:dyDescent="0.2">
      <c r="A483" s="8"/>
    </row>
    <row r="484" spans="1:1" ht="12.75" x14ac:dyDescent="0.2">
      <c r="A484" s="8"/>
    </row>
    <row r="485" spans="1:1" ht="12.75" x14ac:dyDescent="0.2">
      <c r="A485" s="8"/>
    </row>
    <row r="486" spans="1:1" ht="12.75" x14ac:dyDescent="0.2">
      <c r="A486" s="8"/>
    </row>
    <row r="487" spans="1:1" ht="12.75" x14ac:dyDescent="0.2">
      <c r="A487" s="8"/>
    </row>
    <row r="488" spans="1:1" ht="12.75" x14ac:dyDescent="0.2">
      <c r="A488" s="8"/>
    </row>
    <row r="489" spans="1:1" ht="12.75" x14ac:dyDescent="0.2">
      <c r="A489" s="8"/>
    </row>
    <row r="490" spans="1:1" ht="12.75" x14ac:dyDescent="0.2">
      <c r="A490" s="8"/>
    </row>
    <row r="491" spans="1:1" ht="12.75" x14ac:dyDescent="0.2">
      <c r="A491" s="8"/>
    </row>
    <row r="492" spans="1:1" ht="12.75" x14ac:dyDescent="0.2">
      <c r="A492" s="8"/>
    </row>
    <row r="493" spans="1:1" ht="12.75" x14ac:dyDescent="0.2">
      <c r="A493" s="8"/>
    </row>
    <row r="494" spans="1:1" ht="12.75" x14ac:dyDescent="0.2">
      <c r="A494" s="8"/>
    </row>
    <row r="495" spans="1:1" ht="12.75" x14ac:dyDescent="0.2">
      <c r="A495" s="8"/>
    </row>
    <row r="496" spans="1:1" ht="12.75" x14ac:dyDescent="0.2">
      <c r="A496" s="8"/>
    </row>
    <row r="497" spans="1:1" ht="12.75" x14ac:dyDescent="0.2">
      <c r="A497" s="8"/>
    </row>
    <row r="498" spans="1:1" ht="12.75" x14ac:dyDescent="0.2">
      <c r="A498" s="8"/>
    </row>
    <row r="499" spans="1:1" ht="12.75" x14ac:dyDescent="0.2">
      <c r="A499" s="8"/>
    </row>
    <row r="500" spans="1:1" ht="12.75" x14ac:dyDescent="0.2">
      <c r="A500" s="8"/>
    </row>
    <row r="501" spans="1:1" ht="12.75" x14ac:dyDescent="0.2">
      <c r="A501" s="8"/>
    </row>
    <row r="502" spans="1:1" ht="12.75" x14ac:dyDescent="0.2">
      <c r="A502" s="8"/>
    </row>
    <row r="503" spans="1:1" ht="12.75" x14ac:dyDescent="0.2">
      <c r="A503" s="8"/>
    </row>
    <row r="504" spans="1:1" ht="12.75" x14ac:dyDescent="0.2">
      <c r="A504" s="8"/>
    </row>
    <row r="505" spans="1:1" ht="12.75" x14ac:dyDescent="0.2">
      <c r="A505" s="8"/>
    </row>
    <row r="506" spans="1:1" ht="12.75" x14ac:dyDescent="0.2">
      <c r="A506" s="8"/>
    </row>
    <row r="507" spans="1:1" ht="12.75" x14ac:dyDescent="0.2">
      <c r="A507" s="8"/>
    </row>
    <row r="508" spans="1:1" ht="12.75" x14ac:dyDescent="0.2">
      <c r="A508" s="8"/>
    </row>
    <row r="509" spans="1:1" ht="12.75" x14ac:dyDescent="0.2">
      <c r="A509" s="8"/>
    </row>
    <row r="510" spans="1:1" ht="12.75" x14ac:dyDescent="0.2">
      <c r="A510" s="8"/>
    </row>
    <row r="511" spans="1:1" ht="12.75" x14ac:dyDescent="0.2">
      <c r="A511" s="8"/>
    </row>
    <row r="512" spans="1:1" ht="12.75" x14ac:dyDescent="0.2">
      <c r="A512" s="8"/>
    </row>
    <row r="513" spans="1:1" ht="12.75" x14ac:dyDescent="0.2">
      <c r="A513" s="8"/>
    </row>
    <row r="514" spans="1:1" ht="12.75" x14ac:dyDescent="0.2">
      <c r="A514" s="8"/>
    </row>
    <row r="515" spans="1:1" ht="12.75" x14ac:dyDescent="0.2">
      <c r="A515" s="8"/>
    </row>
    <row r="516" spans="1:1" ht="12.75" x14ac:dyDescent="0.2">
      <c r="A516" s="8"/>
    </row>
    <row r="517" spans="1:1" ht="12.75" x14ac:dyDescent="0.2">
      <c r="A517" s="8"/>
    </row>
    <row r="518" spans="1:1" ht="12.75" x14ac:dyDescent="0.2">
      <c r="A518" s="8"/>
    </row>
    <row r="519" spans="1:1" ht="12.75" x14ac:dyDescent="0.2">
      <c r="A519" s="8"/>
    </row>
    <row r="520" spans="1:1" ht="12.75" x14ac:dyDescent="0.2">
      <c r="A520" s="8"/>
    </row>
    <row r="521" spans="1:1" ht="12.75" x14ac:dyDescent="0.2">
      <c r="A521" s="8"/>
    </row>
    <row r="522" spans="1:1" ht="12.75" x14ac:dyDescent="0.2">
      <c r="A522" s="8"/>
    </row>
    <row r="523" spans="1:1" ht="12.75" x14ac:dyDescent="0.2">
      <c r="A523" s="8"/>
    </row>
    <row r="524" spans="1:1" ht="12.75" x14ac:dyDescent="0.2">
      <c r="A524" s="8"/>
    </row>
    <row r="525" spans="1:1" ht="12.75" x14ac:dyDescent="0.2">
      <c r="A525" s="8"/>
    </row>
    <row r="526" spans="1:1" ht="12.75" x14ac:dyDescent="0.2">
      <c r="A526" s="8"/>
    </row>
    <row r="527" spans="1:1" ht="12.75" x14ac:dyDescent="0.2">
      <c r="A527" s="8"/>
    </row>
    <row r="528" spans="1:1" ht="12.75" x14ac:dyDescent="0.2">
      <c r="A528" s="8"/>
    </row>
    <row r="529" spans="1:1" ht="12.75" x14ac:dyDescent="0.2">
      <c r="A529" s="8"/>
    </row>
    <row r="530" spans="1:1" ht="12.75" x14ac:dyDescent="0.2">
      <c r="A530" s="8"/>
    </row>
    <row r="531" spans="1:1" ht="12.75" x14ac:dyDescent="0.2">
      <c r="A531" s="8"/>
    </row>
    <row r="532" spans="1:1" ht="12.75" x14ac:dyDescent="0.2">
      <c r="A532" s="8"/>
    </row>
    <row r="533" spans="1:1" ht="12.75" x14ac:dyDescent="0.2">
      <c r="A533" s="8"/>
    </row>
    <row r="534" spans="1:1" ht="12.75" x14ac:dyDescent="0.2">
      <c r="A534" s="8"/>
    </row>
    <row r="535" spans="1:1" ht="12.75" x14ac:dyDescent="0.2">
      <c r="A535" s="8"/>
    </row>
    <row r="536" spans="1:1" ht="12.75" x14ac:dyDescent="0.2">
      <c r="A536" s="8"/>
    </row>
    <row r="537" spans="1:1" ht="12.75" x14ac:dyDescent="0.2">
      <c r="A537" s="8"/>
    </row>
    <row r="538" spans="1:1" ht="12.75" x14ac:dyDescent="0.2">
      <c r="A538" s="8"/>
    </row>
    <row r="539" spans="1:1" ht="12.75" x14ac:dyDescent="0.2">
      <c r="A539" s="8"/>
    </row>
    <row r="540" spans="1:1" ht="12.75" x14ac:dyDescent="0.2">
      <c r="A540" s="8"/>
    </row>
    <row r="541" spans="1:1" ht="12.75" x14ac:dyDescent="0.2">
      <c r="A541" s="8"/>
    </row>
    <row r="542" spans="1:1" ht="12.75" x14ac:dyDescent="0.2">
      <c r="A542" s="8"/>
    </row>
    <row r="543" spans="1:1" ht="12.75" x14ac:dyDescent="0.2">
      <c r="A543" s="8"/>
    </row>
    <row r="544" spans="1:1" ht="12.75" x14ac:dyDescent="0.2">
      <c r="A544" s="8"/>
    </row>
    <row r="545" spans="1:1" ht="12.75" x14ac:dyDescent="0.2">
      <c r="A545" s="8"/>
    </row>
    <row r="546" spans="1:1" ht="12.75" x14ac:dyDescent="0.2">
      <c r="A546" s="8"/>
    </row>
    <row r="547" spans="1:1" ht="12.75" x14ac:dyDescent="0.2">
      <c r="A547" s="8"/>
    </row>
    <row r="548" spans="1:1" ht="12.75" x14ac:dyDescent="0.2">
      <c r="A548" s="8"/>
    </row>
    <row r="549" spans="1:1" ht="12.75" x14ac:dyDescent="0.2">
      <c r="A549" s="8"/>
    </row>
    <row r="550" spans="1:1" ht="12.75" x14ac:dyDescent="0.2">
      <c r="A550" s="8"/>
    </row>
    <row r="551" spans="1:1" ht="12.75" x14ac:dyDescent="0.2">
      <c r="A551" s="8"/>
    </row>
    <row r="552" spans="1:1" ht="12.75" x14ac:dyDescent="0.2">
      <c r="A552" s="8"/>
    </row>
    <row r="553" spans="1:1" ht="12.75" x14ac:dyDescent="0.2">
      <c r="A553" s="8"/>
    </row>
    <row r="554" spans="1:1" ht="12.75" x14ac:dyDescent="0.2">
      <c r="A554" s="8"/>
    </row>
    <row r="555" spans="1:1" ht="12.75" x14ac:dyDescent="0.2">
      <c r="A555" s="8"/>
    </row>
    <row r="556" spans="1:1" ht="12.75" x14ac:dyDescent="0.2">
      <c r="A556" s="8"/>
    </row>
    <row r="557" spans="1:1" ht="12.75" x14ac:dyDescent="0.2">
      <c r="A557" s="8"/>
    </row>
    <row r="558" spans="1:1" ht="12.75" x14ac:dyDescent="0.2">
      <c r="A558" s="8"/>
    </row>
    <row r="559" spans="1:1" ht="12.75" x14ac:dyDescent="0.2">
      <c r="A559" s="8"/>
    </row>
    <row r="560" spans="1:1" ht="12.75" x14ac:dyDescent="0.2">
      <c r="A560" s="8"/>
    </row>
    <row r="561" spans="1:1" ht="12.75" x14ac:dyDescent="0.2">
      <c r="A561" s="8"/>
    </row>
    <row r="562" spans="1:1" ht="12.75" x14ac:dyDescent="0.2">
      <c r="A562" s="8"/>
    </row>
    <row r="563" spans="1:1" ht="12.75" x14ac:dyDescent="0.2">
      <c r="A563" s="8"/>
    </row>
    <row r="564" spans="1:1" ht="12.75" x14ac:dyDescent="0.2">
      <c r="A564" s="8"/>
    </row>
    <row r="565" spans="1:1" ht="12.75" x14ac:dyDescent="0.2">
      <c r="A565" s="8"/>
    </row>
    <row r="566" spans="1:1" ht="12.75" x14ac:dyDescent="0.2">
      <c r="A566" s="8"/>
    </row>
    <row r="567" spans="1:1" ht="12.75" x14ac:dyDescent="0.2">
      <c r="A567" s="8"/>
    </row>
    <row r="568" spans="1:1" ht="12.75" x14ac:dyDescent="0.2">
      <c r="A568" s="8"/>
    </row>
    <row r="569" spans="1:1" ht="12.75" x14ac:dyDescent="0.2">
      <c r="A569" s="8"/>
    </row>
    <row r="570" spans="1:1" ht="12.75" x14ac:dyDescent="0.2">
      <c r="A570" s="8"/>
    </row>
    <row r="571" spans="1:1" ht="12.75" x14ac:dyDescent="0.2">
      <c r="A571" s="8"/>
    </row>
    <row r="572" spans="1:1" ht="12.75" x14ac:dyDescent="0.2">
      <c r="A572" s="8"/>
    </row>
    <row r="573" spans="1:1" ht="12.75" x14ac:dyDescent="0.2">
      <c r="A573" s="8"/>
    </row>
    <row r="574" spans="1:1" ht="12.75" x14ac:dyDescent="0.2">
      <c r="A574" s="8"/>
    </row>
    <row r="575" spans="1:1" ht="12.75" x14ac:dyDescent="0.2">
      <c r="A575" s="8"/>
    </row>
    <row r="576" spans="1:1" ht="12.75" x14ac:dyDescent="0.2">
      <c r="A576" s="8"/>
    </row>
    <row r="577" spans="1:1" ht="12.75" x14ac:dyDescent="0.2">
      <c r="A577" s="8"/>
    </row>
    <row r="578" spans="1:1" ht="12.75" x14ac:dyDescent="0.2">
      <c r="A578" s="8"/>
    </row>
    <row r="579" spans="1:1" ht="12.75" x14ac:dyDescent="0.2">
      <c r="A579" s="8"/>
    </row>
    <row r="580" spans="1:1" ht="12.75" x14ac:dyDescent="0.2">
      <c r="A580" s="8"/>
    </row>
    <row r="581" spans="1:1" ht="12.75" x14ac:dyDescent="0.2">
      <c r="A581" s="8"/>
    </row>
    <row r="582" spans="1:1" ht="12.75" x14ac:dyDescent="0.2">
      <c r="A582" s="8"/>
    </row>
    <row r="583" spans="1:1" ht="12.75" x14ac:dyDescent="0.2">
      <c r="A583" s="8"/>
    </row>
    <row r="584" spans="1:1" ht="12.75" x14ac:dyDescent="0.2">
      <c r="A584" s="8"/>
    </row>
    <row r="585" spans="1:1" ht="12.75" x14ac:dyDescent="0.2">
      <c r="A585" s="8"/>
    </row>
    <row r="586" spans="1:1" ht="12.75" x14ac:dyDescent="0.2">
      <c r="A586" s="8"/>
    </row>
    <row r="587" spans="1:1" ht="12.75" x14ac:dyDescent="0.2">
      <c r="A587" s="8"/>
    </row>
    <row r="588" spans="1:1" ht="12.75" x14ac:dyDescent="0.2">
      <c r="A588" s="8"/>
    </row>
    <row r="589" spans="1:1" ht="12.75" x14ac:dyDescent="0.2">
      <c r="A589" s="8"/>
    </row>
    <row r="590" spans="1:1" ht="12.75" x14ac:dyDescent="0.2">
      <c r="A590" s="8"/>
    </row>
    <row r="591" spans="1:1" ht="12.75" x14ac:dyDescent="0.2">
      <c r="A591" s="8"/>
    </row>
    <row r="592" spans="1:1" ht="12.75" x14ac:dyDescent="0.2">
      <c r="A592" s="8"/>
    </row>
    <row r="593" spans="1:1" ht="12.75" x14ac:dyDescent="0.2">
      <c r="A593" s="8"/>
    </row>
    <row r="594" spans="1:1" ht="12.75" x14ac:dyDescent="0.2">
      <c r="A594" s="8"/>
    </row>
    <row r="595" spans="1:1" ht="12.75" x14ac:dyDescent="0.2">
      <c r="A595" s="8"/>
    </row>
    <row r="596" spans="1:1" ht="12.75" x14ac:dyDescent="0.2">
      <c r="A596" s="8"/>
    </row>
    <row r="597" spans="1:1" ht="12.75" x14ac:dyDescent="0.2">
      <c r="A597" s="8"/>
    </row>
    <row r="598" spans="1:1" ht="12.75" x14ac:dyDescent="0.2">
      <c r="A598" s="8"/>
    </row>
    <row r="599" spans="1:1" ht="12.75" x14ac:dyDescent="0.2">
      <c r="A599" s="8"/>
    </row>
    <row r="600" spans="1:1" ht="12.75" x14ac:dyDescent="0.2">
      <c r="A600" s="8"/>
    </row>
    <row r="601" spans="1:1" ht="12.75" x14ac:dyDescent="0.2">
      <c r="A601" s="8"/>
    </row>
    <row r="602" spans="1:1" ht="12.75" x14ac:dyDescent="0.2">
      <c r="A602" s="8"/>
    </row>
    <row r="603" spans="1:1" ht="12.75" x14ac:dyDescent="0.2">
      <c r="A603" s="8"/>
    </row>
    <row r="604" spans="1:1" ht="12.75" x14ac:dyDescent="0.2">
      <c r="A604" s="8"/>
    </row>
    <row r="605" spans="1:1" ht="12.75" x14ac:dyDescent="0.2">
      <c r="A605" s="8"/>
    </row>
    <row r="606" spans="1:1" ht="12.75" x14ac:dyDescent="0.2">
      <c r="A606" s="8"/>
    </row>
    <row r="607" spans="1:1" ht="12.75" x14ac:dyDescent="0.2">
      <c r="A607" s="8"/>
    </row>
    <row r="608" spans="1:1" ht="12.75" x14ac:dyDescent="0.2">
      <c r="A608" s="8"/>
    </row>
    <row r="609" spans="1:1" ht="12.75" x14ac:dyDescent="0.2">
      <c r="A609" s="8"/>
    </row>
    <row r="610" spans="1:1" ht="12.75" x14ac:dyDescent="0.2">
      <c r="A610" s="8"/>
    </row>
    <row r="611" spans="1:1" ht="12.75" x14ac:dyDescent="0.2">
      <c r="A611" s="8"/>
    </row>
    <row r="612" spans="1:1" ht="12.75" x14ac:dyDescent="0.2">
      <c r="A612" s="8"/>
    </row>
    <row r="613" spans="1:1" ht="12.75" x14ac:dyDescent="0.2">
      <c r="A613" s="8"/>
    </row>
    <row r="614" spans="1:1" ht="12.75" x14ac:dyDescent="0.2">
      <c r="A614" s="8"/>
    </row>
    <row r="615" spans="1:1" ht="12.75" x14ac:dyDescent="0.2">
      <c r="A615" s="8"/>
    </row>
    <row r="616" spans="1:1" ht="12.75" x14ac:dyDescent="0.2">
      <c r="A616" s="8"/>
    </row>
    <row r="617" spans="1:1" ht="12.75" x14ac:dyDescent="0.2">
      <c r="A617" s="8"/>
    </row>
    <row r="618" spans="1:1" ht="12.75" x14ac:dyDescent="0.2">
      <c r="A618" s="8"/>
    </row>
    <row r="619" spans="1:1" ht="12.75" x14ac:dyDescent="0.2">
      <c r="A619" s="8"/>
    </row>
    <row r="620" spans="1:1" ht="12.75" x14ac:dyDescent="0.2">
      <c r="A620" s="8"/>
    </row>
    <row r="621" spans="1:1" ht="12.75" x14ac:dyDescent="0.2">
      <c r="A621" s="8"/>
    </row>
    <row r="622" spans="1:1" ht="12.75" x14ac:dyDescent="0.2">
      <c r="A622" s="8"/>
    </row>
    <row r="623" spans="1:1" ht="12.75" x14ac:dyDescent="0.2">
      <c r="A623" s="8"/>
    </row>
    <row r="624" spans="1:1" ht="12.75" x14ac:dyDescent="0.2">
      <c r="A624" s="8"/>
    </row>
    <row r="625" spans="1:1" ht="12.75" x14ac:dyDescent="0.2">
      <c r="A625" s="8"/>
    </row>
    <row r="626" spans="1:1" ht="12.75" x14ac:dyDescent="0.2">
      <c r="A626" s="8"/>
    </row>
    <row r="627" spans="1:1" ht="12.75" x14ac:dyDescent="0.2">
      <c r="A627" s="8"/>
    </row>
    <row r="628" spans="1:1" ht="12.75" x14ac:dyDescent="0.2">
      <c r="A628" s="8"/>
    </row>
    <row r="629" spans="1:1" ht="12.75" x14ac:dyDescent="0.2">
      <c r="A629" s="8"/>
    </row>
    <row r="630" spans="1:1" ht="12.75" x14ac:dyDescent="0.2">
      <c r="A630" s="8"/>
    </row>
    <row r="631" spans="1:1" ht="12.75" x14ac:dyDescent="0.2">
      <c r="A631" s="8"/>
    </row>
    <row r="632" spans="1:1" ht="12.75" x14ac:dyDescent="0.2">
      <c r="A632" s="8"/>
    </row>
    <row r="633" spans="1:1" ht="12.75" x14ac:dyDescent="0.2">
      <c r="A633" s="8"/>
    </row>
    <row r="634" spans="1:1" ht="12.75" x14ac:dyDescent="0.2">
      <c r="A634" s="8"/>
    </row>
    <row r="635" spans="1:1" ht="12.75" x14ac:dyDescent="0.2">
      <c r="A635" s="8"/>
    </row>
    <row r="636" spans="1:1" ht="12.75" x14ac:dyDescent="0.2">
      <c r="A636" s="8"/>
    </row>
    <row r="637" spans="1:1" ht="12.75" x14ac:dyDescent="0.2">
      <c r="A637" s="8"/>
    </row>
    <row r="638" spans="1:1" ht="12.75" x14ac:dyDescent="0.2">
      <c r="A638" s="8"/>
    </row>
    <row r="639" spans="1:1" ht="12.75" x14ac:dyDescent="0.2">
      <c r="A639" s="8"/>
    </row>
    <row r="640" spans="1:1" ht="12.75" x14ac:dyDescent="0.2">
      <c r="A640" s="8"/>
    </row>
    <row r="641" spans="1:1" ht="12.75" x14ac:dyDescent="0.2">
      <c r="A641" s="8"/>
    </row>
    <row r="642" spans="1:1" ht="12.75" x14ac:dyDescent="0.2">
      <c r="A642" s="8"/>
    </row>
    <row r="643" spans="1:1" ht="12.75" x14ac:dyDescent="0.2">
      <c r="A643" s="8"/>
    </row>
    <row r="644" spans="1:1" ht="12.75" x14ac:dyDescent="0.2">
      <c r="A644" s="8"/>
    </row>
    <row r="645" spans="1:1" ht="12.75" x14ac:dyDescent="0.2">
      <c r="A645" s="8"/>
    </row>
    <row r="646" spans="1:1" ht="12.75" x14ac:dyDescent="0.2">
      <c r="A646" s="8"/>
    </row>
    <row r="647" spans="1:1" ht="12.75" x14ac:dyDescent="0.2">
      <c r="A647" s="8"/>
    </row>
    <row r="648" spans="1:1" ht="12.75" x14ac:dyDescent="0.2">
      <c r="A648" s="8"/>
    </row>
    <row r="649" spans="1:1" ht="12.75" x14ac:dyDescent="0.2">
      <c r="A649" s="8"/>
    </row>
    <row r="650" spans="1:1" ht="12.75" x14ac:dyDescent="0.2">
      <c r="A650" s="8"/>
    </row>
    <row r="651" spans="1:1" ht="12.75" x14ac:dyDescent="0.2">
      <c r="A651" s="8"/>
    </row>
    <row r="652" spans="1:1" ht="12.75" x14ac:dyDescent="0.2">
      <c r="A652" s="8"/>
    </row>
    <row r="653" spans="1:1" ht="12.75" x14ac:dyDescent="0.2">
      <c r="A653" s="8"/>
    </row>
    <row r="654" spans="1:1" ht="12.75" x14ac:dyDescent="0.2">
      <c r="A654" s="8"/>
    </row>
    <row r="655" spans="1:1" ht="12.75" x14ac:dyDescent="0.2">
      <c r="A655" s="8"/>
    </row>
    <row r="656" spans="1:1" ht="12.75" x14ac:dyDescent="0.2">
      <c r="A656" s="8"/>
    </row>
    <row r="657" spans="1:1" ht="12.75" x14ac:dyDescent="0.2">
      <c r="A657" s="8"/>
    </row>
    <row r="658" spans="1:1" ht="12.75" x14ac:dyDescent="0.2">
      <c r="A658" s="8"/>
    </row>
    <row r="659" spans="1:1" ht="12.75" x14ac:dyDescent="0.2">
      <c r="A659" s="8"/>
    </row>
    <row r="660" spans="1:1" ht="12.75" x14ac:dyDescent="0.2">
      <c r="A660" s="8"/>
    </row>
    <row r="661" spans="1:1" ht="12.75" x14ac:dyDescent="0.2">
      <c r="A661" s="8"/>
    </row>
    <row r="662" spans="1:1" ht="12.75" x14ac:dyDescent="0.2">
      <c r="A662" s="8"/>
    </row>
    <row r="663" spans="1:1" ht="12.75" x14ac:dyDescent="0.2">
      <c r="A663" s="8"/>
    </row>
    <row r="664" spans="1:1" ht="12.75" x14ac:dyDescent="0.2">
      <c r="A664" s="8"/>
    </row>
    <row r="665" spans="1:1" ht="12.75" x14ac:dyDescent="0.2">
      <c r="A665" s="8"/>
    </row>
    <row r="666" spans="1:1" ht="12.75" x14ac:dyDescent="0.2">
      <c r="A666" s="8"/>
    </row>
    <row r="667" spans="1:1" ht="12.75" x14ac:dyDescent="0.2">
      <c r="A667" s="8"/>
    </row>
    <row r="668" spans="1:1" ht="12.75" x14ac:dyDescent="0.2">
      <c r="A668" s="8"/>
    </row>
    <row r="669" spans="1:1" ht="12.75" x14ac:dyDescent="0.2">
      <c r="A669" s="8"/>
    </row>
    <row r="670" spans="1:1" ht="12.75" x14ac:dyDescent="0.2">
      <c r="A670" s="8"/>
    </row>
    <row r="671" spans="1:1" ht="12.75" x14ac:dyDescent="0.2">
      <c r="A671" s="8"/>
    </row>
    <row r="672" spans="1:1" ht="12.75" x14ac:dyDescent="0.2">
      <c r="A672" s="8"/>
    </row>
    <row r="673" spans="1:1" ht="12.75" x14ac:dyDescent="0.2">
      <c r="A673" s="8"/>
    </row>
    <row r="674" spans="1:1" ht="12.75" x14ac:dyDescent="0.2">
      <c r="A674" s="8"/>
    </row>
    <row r="675" spans="1:1" ht="12.75" x14ac:dyDescent="0.2">
      <c r="A675" s="8"/>
    </row>
    <row r="676" spans="1:1" ht="12.75" x14ac:dyDescent="0.2">
      <c r="A676" s="8"/>
    </row>
    <row r="677" spans="1:1" ht="12.75" x14ac:dyDescent="0.2">
      <c r="A677" s="8"/>
    </row>
    <row r="678" spans="1:1" ht="12.75" x14ac:dyDescent="0.2">
      <c r="A678" s="8"/>
    </row>
    <row r="679" spans="1:1" ht="12.75" x14ac:dyDescent="0.2">
      <c r="A679" s="8"/>
    </row>
    <row r="680" spans="1:1" ht="12.75" x14ac:dyDescent="0.2">
      <c r="A680" s="8"/>
    </row>
    <row r="681" spans="1:1" ht="12.75" x14ac:dyDescent="0.2">
      <c r="A681" s="8"/>
    </row>
    <row r="682" spans="1:1" ht="12.75" x14ac:dyDescent="0.2">
      <c r="A682" s="8"/>
    </row>
    <row r="683" spans="1:1" ht="12.75" x14ac:dyDescent="0.2">
      <c r="A683" s="8"/>
    </row>
    <row r="684" spans="1:1" ht="12.75" x14ac:dyDescent="0.2">
      <c r="A684" s="8"/>
    </row>
    <row r="685" spans="1:1" ht="12.75" x14ac:dyDescent="0.2">
      <c r="A685" s="8"/>
    </row>
    <row r="686" spans="1:1" ht="12.75" x14ac:dyDescent="0.2">
      <c r="A686" s="8"/>
    </row>
    <row r="687" spans="1:1" ht="12.75" x14ac:dyDescent="0.2">
      <c r="A687" s="8"/>
    </row>
    <row r="688" spans="1:1" ht="12.75" x14ac:dyDescent="0.2">
      <c r="A688" s="8"/>
    </row>
    <row r="689" spans="1:1" ht="12.75" x14ac:dyDescent="0.2">
      <c r="A689" s="8"/>
    </row>
    <row r="690" spans="1:1" ht="12.75" x14ac:dyDescent="0.2">
      <c r="A690" s="8"/>
    </row>
    <row r="691" spans="1:1" ht="12.75" x14ac:dyDescent="0.2">
      <c r="A691" s="8"/>
    </row>
    <row r="692" spans="1:1" ht="12.75" x14ac:dyDescent="0.2">
      <c r="A692" s="8"/>
    </row>
    <row r="693" spans="1:1" ht="12.75" x14ac:dyDescent="0.2">
      <c r="A693" s="8"/>
    </row>
    <row r="694" spans="1:1" ht="12.75" x14ac:dyDescent="0.2">
      <c r="A694" s="8"/>
    </row>
    <row r="695" spans="1:1" ht="12.75" x14ac:dyDescent="0.2">
      <c r="A695" s="8"/>
    </row>
    <row r="696" spans="1:1" ht="12.75" x14ac:dyDescent="0.2">
      <c r="A696" s="8"/>
    </row>
    <row r="697" spans="1:1" ht="12.75" x14ac:dyDescent="0.2">
      <c r="A697" s="8"/>
    </row>
    <row r="698" spans="1:1" ht="12.75" x14ac:dyDescent="0.2">
      <c r="A698" s="8"/>
    </row>
    <row r="699" spans="1:1" ht="12.75" x14ac:dyDescent="0.2">
      <c r="A699" s="8"/>
    </row>
    <row r="700" spans="1:1" ht="12.75" x14ac:dyDescent="0.2">
      <c r="A700" s="8"/>
    </row>
    <row r="701" spans="1:1" ht="12.75" x14ac:dyDescent="0.2">
      <c r="A701" s="8"/>
    </row>
    <row r="702" spans="1:1" ht="12.75" x14ac:dyDescent="0.2">
      <c r="A702" s="8"/>
    </row>
    <row r="703" spans="1:1" ht="12.75" x14ac:dyDescent="0.2">
      <c r="A703" s="8"/>
    </row>
    <row r="704" spans="1:1" ht="12.75" x14ac:dyDescent="0.2">
      <c r="A704" s="8"/>
    </row>
    <row r="705" spans="1:1" ht="12.75" x14ac:dyDescent="0.2">
      <c r="A705" s="8"/>
    </row>
    <row r="706" spans="1:1" ht="12.75" x14ac:dyDescent="0.2">
      <c r="A706" s="8"/>
    </row>
    <row r="707" spans="1:1" ht="12.75" x14ac:dyDescent="0.2">
      <c r="A707" s="8"/>
    </row>
    <row r="708" spans="1:1" ht="12.75" x14ac:dyDescent="0.2">
      <c r="A708" s="8"/>
    </row>
    <row r="709" spans="1:1" ht="12.75" x14ac:dyDescent="0.2">
      <c r="A709" s="8"/>
    </row>
    <row r="710" spans="1:1" ht="12.75" x14ac:dyDescent="0.2">
      <c r="A710" s="8"/>
    </row>
    <row r="711" spans="1:1" ht="12.75" x14ac:dyDescent="0.2">
      <c r="A711" s="8"/>
    </row>
    <row r="712" spans="1:1" ht="12.75" x14ac:dyDescent="0.2">
      <c r="A712" s="8"/>
    </row>
    <row r="713" spans="1:1" ht="12.75" x14ac:dyDescent="0.2">
      <c r="A713" s="8"/>
    </row>
    <row r="714" spans="1:1" ht="12.75" x14ac:dyDescent="0.2">
      <c r="A714" s="8"/>
    </row>
    <row r="715" spans="1:1" ht="12.75" x14ac:dyDescent="0.2">
      <c r="A715" s="8"/>
    </row>
    <row r="716" spans="1:1" ht="12.75" x14ac:dyDescent="0.2">
      <c r="A716" s="8"/>
    </row>
    <row r="717" spans="1:1" ht="12.75" x14ac:dyDescent="0.2">
      <c r="A717" s="8"/>
    </row>
    <row r="718" spans="1:1" ht="12.75" x14ac:dyDescent="0.2">
      <c r="A718" s="8"/>
    </row>
    <row r="719" spans="1:1" ht="12.75" x14ac:dyDescent="0.2">
      <c r="A719" s="8"/>
    </row>
    <row r="720" spans="1:1" ht="12.75" x14ac:dyDescent="0.2">
      <c r="A720" s="8"/>
    </row>
    <row r="721" spans="1:1" ht="12.75" x14ac:dyDescent="0.2">
      <c r="A721" s="8"/>
    </row>
    <row r="722" spans="1:1" ht="12.75" x14ac:dyDescent="0.2">
      <c r="A722" s="8"/>
    </row>
    <row r="723" spans="1:1" ht="12.75" x14ac:dyDescent="0.2">
      <c r="A723" s="8"/>
    </row>
    <row r="724" spans="1:1" ht="12.75" x14ac:dyDescent="0.2">
      <c r="A724" s="8"/>
    </row>
    <row r="725" spans="1:1" ht="12.75" x14ac:dyDescent="0.2">
      <c r="A725" s="8"/>
    </row>
    <row r="726" spans="1:1" ht="12.75" x14ac:dyDescent="0.2">
      <c r="A726" s="8"/>
    </row>
    <row r="727" spans="1:1" ht="12.75" x14ac:dyDescent="0.2">
      <c r="A727" s="8"/>
    </row>
    <row r="728" spans="1:1" ht="12.75" x14ac:dyDescent="0.2">
      <c r="A728" s="8"/>
    </row>
    <row r="729" spans="1:1" ht="12.75" x14ac:dyDescent="0.2">
      <c r="A729" s="8"/>
    </row>
    <row r="730" spans="1:1" ht="12.75" x14ac:dyDescent="0.2">
      <c r="A730" s="8"/>
    </row>
    <row r="731" spans="1:1" ht="12.75" x14ac:dyDescent="0.2">
      <c r="A731" s="8"/>
    </row>
    <row r="732" spans="1:1" ht="12.75" x14ac:dyDescent="0.2">
      <c r="A732" s="8"/>
    </row>
    <row r="733" spans="1:1" ht="12.75" x14ac:dyDescent="0.2">
      <c r="A733" s="8"/>
    </row>
    <row r="734" spans="1:1" ht="12.75" x14ac:dyDescent="0.2">
      <c r="A734" s="8"/>
    </row>
    <row r="735" spans="1:1" ht="12.75" x14ac:dyDescent="0.2">
      <c r="A735" s="8"/>
    </row>
    <row r="736" spans="1:1" ht="12.75" x14ac:dyDescent="0.2">
      <c r="A736" s="8"/>
    </row>
    <row r="737" spans="1:1" ht="12.75" x14ac:dyDescent="0.2">
      <c r="A737" s="8"/>
    </row>
    <row r="738" spans="1:1" ht="12.75" x14ac:dyDescent="0.2">
      <c r="A738" s="8"/>
    </row>
    <row r="739" spans="1:1" ht="12.75" x14ac:dyDescent="0.2">
      <c r="A739" s="8"/>
    </row>
    <row r="740" spans="1:1" ht="12.75" x14ac:dyDescent="0.2">
      <c r="A740" s="8"/>
    </row>
    <row r="741" spans="1:1" ht="12.75" x14ac:dyDescent="0.2">
      <c r="A741" s="8"/>
    </row>
    <row r="742" spans="1:1" ht="12.75" x14ac:dyDescent="0.2">
      <c r="A742" s="8"/>
    </row>
    <row r="743" spans="1:1" ht="12.75" x14ac:dyDescent="0.2">
      <c r="A743" s="8"/>
    </row>
    <row r="744" spans="1:1" ht="12.75" x14ac:dyDescent="0.2">
      <c r="A744" s="8"/>
    </row>
    <row r="745" spans="1:1" ht="12.75" x14ac:dyDescent="0.2">
      <c r="A745" s="8"/>
    </row>
    <row r="746" spans="1:1" ht="12.75" x14ac:dyDescent="0.2">
      <c r="A746" s="8"/>
    </row>
    <row r="747" spans="1:1" ht="12.75" x14ac:dyDescent="0.2">
      <c r="A747" s="8"/>
    </row>
    <row r="748" spans="1:1" ht="12.75" x14ac:dyDescent="0.2">
      <c r="A748" s="8"/>
    </row>
    <row r="749" spans="1:1" ht="12.75" x14ac:dyDescent="0.2">
      <c r="A749" s="8"/>
    </row>
    <row r="750" spans="1:1" ht="12.75" x14ac:dyDescent="0.2">
      <c r="A750" s="8"/>
    </row>
    <row r="751" spans="1:1" ht="12.75" x14ac:dyDescent="0.2">
      <c r="A751" s="8"/>
    </row>
    <row r="752" spans="1:1" ht="12.75" x14ac:dyDescent="0.2">
      <c r="A752" s="8"/>
    </row>
    <row r="753" spans="1:1" ht="12.75" x14ac:dyDescent="0.2">
      <c r="A753" s="8"/>
    </row>
    <row r="754" spans="1:1" ht="12.75" x14ac:dyDescent="0.2">
      <c r="A754" s="8"/>
    </row>
    <row r="755" spans="1:1" ht="12.75" x14ac:dyDescent="0.2">
      <c r="A755" s="8"/>
    </row>
    <row r="756" spans="1:1" ht="12.75" x14ac:dyDescent="0.2">
      <c r="A756" s="8"/>
    </row>
    <row r="757" spans="1:1" ht="12.75" x14ac:dyDescent="0.2">
      <c r="A757" s="8"/>
    </row>
    <row r="758" spans="1:1" ht="12.75" x14ac:dyDescent="0.2">
      <c r="A758" s="8"/>
    </row>
    <row r="759" spans="1:1" ht="12.75" x14ac:dyDescent="0.2">
      <c r="A759" s="8"/>
    </row>
    <row r="760" spans="1:1" ht="12.75" x14ac:dyDescent="0.2">
      <c r="A760" s="8"/>
    </row>
    <row r="761" spans="1:1" ht="12.75" x14ac:dyDescent="0.2">
      <c r="A761" s="8"/>
    </row>
    <row r="762" spans="1:1" ht="12.75" x14ac:dyDescent="0.2">
      <c r="A762" s="8"/>
    </row>
    <row r="763" spans="1:1" ht="12.75" x14ac:dyDescent="0.2">
      <c r="A763" s="8"/>
    </row>
    <row r="764" spans="1:1" ht="12.75" x14ac:dyDescent="0.2">
      <c r="A764" s="8"/>
    </row>
    <row r="765" spans="1:1" ht="12.75" x14ac:dyDescent="0.2">
      <c r="A765" s="8"/>
    </row>
    <row r="766" spans="1:1" ht="12.75" x14ac:dyDescent="0.2">
      <c r="A766" s="8"/>
    </row>
    <row r="767" spans="1:1" ht="12.75" x14ac:dyDescent="0.2">
      <c r="A767" s="8"/>
    </row>
    <row r="768" spans="1:1" ht="12.75" x14ac:dyDescent="0.2">
      <c r="A768" s="8"/>
    </row>
    <row r="769" spans="1:1" ht="12.75" x14ac:dyDescent="0.2">
      <c r="A769" s="8"/>
    </row>
    <row r="770" spans="1:1" ht="12.75" x14ac:dyDescent="0.2">
      <c r="A770" s="8"/>
    </row>
    <row r="771" spans="1:1" ht="12.75" x14ac:dyDescent="0.2">
      <c r="A771" s="8"/>
    </row>
    <row r="772" spans="1:1" ht="12.75" x14ac:dyDescent="0.2">
      <c r="A772" s="8"/>
    </row>
    <row r="773" spans="1:1" ht="12.75" x14ac:dyDescent="0.2">
      <c r="A773" s="8"/>
    </row>
    <row r="774" spans="1:1" ht="12.75" x14ac:dyDescent="0.2">
      <c r="A774" s="8"/>
    </row>
    <row r="775" spans="1:1" ht="12.75" x14ac:dyDescent="0.2">
      <c r="A775" s="8"/>
    </row>
    <row r="776" spans="1:1" ht="12.75" x14ac:dyDescent="0.2">
      <c r="A776" s="8"/>
    </row>
    <row r="777" spans="1:1" ht="12.75" x14ac:dyDescent="0.2">
      <c r="A777" s="8"/>
    </row>
    <row r="778" spans="1:1" ht="12.75" x14ac:dyDescent="0.2">
      <c r="A778" s="8"/>
    </row>
    <row r="779" spans="1:1" ht="12.75" x14ac:dyDescent="0.2">
      <c r="A779" s="8"/>
    </row>
    <row r="780" spans="1:1" ht="12.75" x14ac:dyDescent="0.2">
      <c r="A780" s="8"/>
    </row>
    <row r="781" spans="1:1" ht="12.75" x14ac:dyDescent="0.2">
      <c r="A781" s="8"/>
    </row>
    <row r="782" spans="1:1" ht="12.75" x14ac:dyDescent="0.2">
      <c r="A782" s="8"/>
    </row>
    <row r="783" spans="1:1" ht="12.75" x14ac:dyDescent="0.2">
      <c r="A783" s="8"/>
    </row>
    <row r="784" spans="1:1" ht="12.75" x14ac:dyDescent="0.2">
      <c r="A784" s="8"/>
    </row>
    <row r="785" spans="1:1" ht="12.75" x14ac:dyDescent="0.2">
      <c r="A785" s="8"/>
    </row>
    <row r="786" spans="1:1" ht="12.75" x14ac:dyDescent="0.2">
      <c r="A786" s="8"/>
    </row>
    <row r="787" spans="1:1" ht="12.75" x14ac:dyDescent="0.2">
      <c r="A787" s="8"/>
    </row>
    <row r="788" spans="1:1" ht="12.75" x14ac:dyDescent="0.2">
      <c r="A788" s="8"/>
    </row>
    <row r="789" spans="1:1" ht="12.75" x14ac:dyDescent="0.2">
      <c r="A789" s="8"/>
    </row>
    <row r="790" spans="1:1" ht="12.75" x14ac:dyDescent="0.2">
      <c r="A790" s="8"/>
    </row>
    <row r="791" spans="1:1" ht="12.75" x14ac:dyDescent="0.2">
      <c r="A791" s="8"/>
    </row>
    <row r="792" spans="1:1" ht="12.75" x14ac:dyDescent="0.2">
      <c r="A792" s="8"/>
    </row>
    <row r="793" spans="1:1" ht="12.75" x14ac:dyDescent="0.2">
      <c r="A793" s="8"/>
    </row>
    <row r="794" spans="1:1" ht="12.75" x14ac:dyDescent="0.2">
      <c r="A794" s="8"/>
    </row>
    <row r="795" spans="1:1" ht="12.75" x14ac:dyDescent="0.2">
      <c r="A795" s="8"/>
    </row>
    <row r="796" spans="1:1" ht="12.75" x14ac:dyDescent="0.2">
      <c r="A796" s="8"/>
    </row>
    <row r="797" spans="1:1" ht="12.75" x14ac:dyDescent="0.2">
      <c r="A797" s="8"/>
    </row>
    <row r="798" spans="1:1" ht="12.75" x14ac:dyDescent="0.2">
      <c r="A798" s="8"/>
    </row>
    <row r="799" spans="1:1" ht="12.75" x14ac:dyDescent="0.2">
      <c r="A799" s="8"/>
    </row>
    <row r="800" spans="1:1" ht="12.75" x14ac:dyDescent="0.2">
      <c r="A800" s="8"/>
    </row>
    <row r="801" spans="1:1" ht="12.75" x14ac:dyDescent="0.2">
      <c r="A801" s="8"/>
    </row>
    <row r="802" spans="1:1" ht="12.75" x14ac:dyDescent="0.2">
      <c r="A802" s="8"/>
    </row>
    <row r="803" spans="1:1" ht="12.75" x14ac:dyDescent="0.2">
      <c r="A803" s="8"/>
    </row>
    <row r="804" spans="1:1" ht="12.75" x14ac:dyDescent="0.2">
      <c r="A804" s="8"/>
    </row>
    <row r="805" spans="1:1" ht="12.75" x14ac:dyDescent="0.2">
      <c r="A805" s="8"/>
    </row>
    <row r="806" spans="1:1" ht="12.75" x14ac:dyDescent="0.2">
      <c r="A806" s="8"/>
    </row>
    <row r="807" spans="1:1" ht="12.75" x14ac:dyDescent="0.2">
      <c r="A807" s="8"/>
    </row>
    <row r="808" spans="1:1" ht="12.75" x14ac:dyDescent="0.2">
      <c r="A808" s="8"/>
    </row>
    <row r="809" spans="1:1" ht="12.75" x14ac:dyDescent="0.2">
      <c r="A809" s="8"/>
    </row>
    <row r="810" spans="1:1" ht="12.75" x14ac:dyDescent="0.2">
      <c r="A810" s="8"/>
    </row>
    <row r="811" spans="1:1" ht="12.75" x14ac:dyDescent="0.2">
      <c r="A811" s="8"/>
    </row>
    <row r="812" spans="1:1" ht="12.75" x14ac:dyDescent="0.2">
      <c r="A812" s="8"/>
    </row>
    <row r="813" spans="1:1" ht="12.75" x14ac:dyDescent="0.2">
      <c r="A813" s="8"/>
    </row>
    <row r="814" spans="1:1" ht="12.75" x14ac:dyDescent="0.2">
      <c r="A814" s="8"/>
    </row>
    <row r="815" spans="1:1" ht="12.75" x14ac:dyDescent="0.2">
      <c r="A815" s="8"/>
    </row>
    <row r="816" spans="1:1" ht="12.75" x14ac:dyDescent="0.2">
      <c r="A816" s="8"/>
    </row>
    <row r="817" spans="1:1" ht="12.75" x14ac:dyDescent="0.2">
      <c r="A817" s="8"/>
    </row>
    <row r="818" spans="1:1" ht="12.75" x14ac:dyDescent="0.2">
      <c r="A818" s="8"/>
    </row>
    <row r="819" spans="1:1" ht="12.75" x14ac:dyDescent="0.2">
      <c r="A819" s="8"/>
    </row>
    <row r="820" spans="1:1" ht="12.75" x14ac:dyDescent="0.2">
      <c r="A820" s="8"/>
    </row>
    <row r="821" spans="1:1" ht="12.75" x14ac:dyDescent="0.2">
      <c r="A821" s="8"/>
    </row>
    <row r="822" spans="1:1" ht="12.75" x14ac:dyDescent="0.2">
      <c r="A822" s="8"/>
    </row>
    <row r="823" spans="1:1" ht="12.75" x14ac:dyDescent="0.2">
      <c r="A823" s="8"/>
    </row>
    <row r="824" spans="1:1" ht="12.75" x14ac:dyDescent="0.2">
      <c r="A824" s="8"/>
    </row>
    <row r="825" spans="1:1" ht="12.75" x14ac:dyDescent="0.2">
      <c r="A825" s="8"/>
    </row>
    <row r="826" spans="1:1" ht="12.75" x14ac:dyDescent="0.2">
      <c r="A826" s="8"/>
    </row>
    <row r="827" spans="1:1" ht="12.75" x14ac:dyDescent="0.2">
      <c r="A827" s="8"/>
    </row>
    <row r="828" spans="1:1" ht="12.75" x14ac:dyDescent="0.2">
      <c r="A828" s="8"/>
    </row>
    <row r="829" spans="1:1" ht="12.75" x14ac:dyDescent="0.2">
      <c r="A829" s="8"/>
    </row>
    <row r="830" spans="1:1" ht="12.75" x14ac:dyDescent="0.2">
      <c r="A830" s="8"/>
    </row>
    <row r="831" spans="1:1" ht="12.75" x14ac:dyDescent="0.2">
      <c r="A831" s="8"/>
    </row>
    <row r="832" spans="1:1" ht="12.75" x14ac:dyDescent="0.2">
      <c r="A832" s="8"/>
    </row>
    <row r="833" spans="1:1" ht="12.75" x14ac:dyDescent="0.2">
      <c r="A833" s="8"/>
    </row>
    <row r="834" spans="1:1" ht="12.75" x14ac:dyDescent="0.2">
      <c r="A834" s="8"/>
    </row>
    <row r="835" spans="1:1" ht="12.75" x14ac:dyDescent="0.2">
      <c r="A835" s="8"/>
    </row>
    <row r="836" spans="1:1" ht="12.75" x14ac:dyDescent="0.2">
      <c r="A836" s="8"/>
    </row>
    <row r="837" spans="1:1" ht="12.75" x14ac:dyDescent="0.2">
      <c r="A837" s="8"/>
    </row>
    <row r="838" spans="1:1" ht="12.75" x14ac:dyDescent="0.2">
      <c r="A838" s="8"/>
    </row>
    <row r="839" spans="1:1" ht="12.75" x14ac:dyDescent="0.2">
      <c r="A839" s="8"/>
    </row>
    <row r="840" spans="1:1" ht="12.75" x14ac:dyDescent="0.2">
      <c r="A840" s="8"/>
    </row>
    <row r="841" spans="1:1" ht="12.75" x14ac:dyDescent="0.2">
      <c r="A841" s="8"/>
    </row>
    <row r="842" spans="1:1" ht="12.75" x14ac:dyDescent="0.2">
      <c r="A842" s="8"/>
    </row>
    <row r="843" spans="1:1" ht="12.75" x14ac:dyDescent="0.2">
      <c r="A843" s="8"/>
    </row>
    <row r="844" spans="1:1" ht="12.75" x14ac:dyDescent="0.2">
      <c r="A844" s="8"/>
    </row>
    <row r="845" spans="1:1" ht="12.75" x14ac:dyDescent="0.2">
      <c r="A845" s="8"/>
    </row>
    <row r="846" spans="1:1" ht="12.75" x14ac:dyDescent="0.2">
      <c r="A846" s="8"/>
    </row>
    <row r="847" spans="1:1" ht="12.75" x14ac:dyDescent="0.2">
      <c r="A847" s="8"/>
    </row>
    <row r="848" spans="1:1" ht="12.75" x14ac:dyDescent="0.2">
      <c r="A848" s="8"/>
    </row>
    <row r="849" spans="1:1" ht="12.75" x14ac:dyDescent="0.2">
      <c r="A849" s="8"/>
    </row>
    <row r="850" spans="1:1" ht="12.75" x14ac:dyDescent="0.2">
      <c r="A850" s="8"/>
    </row>
    <row r="851" spans="1:1" ht="12.75" x14ac:dyDescent="0.2">
      <c r="A851" s="8"/>
    </row>
    <row r="852" spans="1:1" ht="12.75" x14ac:dyDescent="0.2">
      <c r="A852" s="8"/>
    </row>
    <row r="853" spans="1:1" ht="12.75" x14ac:dyDescent="0.2">
      <c r="A853" s="8"/>
    </row>
    <row r="854" spans="1:1" ht="12.75" x14ac:dyDescent="0.2">
      <c r="A854" s="8"/>
    </row>
    <row r="855" spans="1:1" ht="12.75" x14ac:dyDescent="0.2">
      <c r="A855" s="8"/>
    </row>
    <row r="856" spans="1:1" ht="12.75" x14ac:dyDescent="0.2">
      <c r="A856" s="8"/>
    </row>
    <row r="857" spans="1:1" ht="12.75" x14ac:dyDescent="0.2">
      <c r="A857" s="8"/>
    </row>
    <row r="858" spans="1:1" ht="12.75" x14ac:dyDescent="0.2">
      <c r="A858" s="8"/>
    </row>
    <row r="859" spans="1:1" ht="12.75" x14ac:dyDescent="0.2">
      <c r="A859" s="8"/>
    </row>
    <row r="860" spans="1:1" ht="12.75" x14ac:dyDescent="0.2">
      <c r="A860" s="8"/>
    </row>
    <row r="861" spans="1:1" ht="12.75" x14ac:dyDescent="0.2">
      <c r="A861" s="8"/>
    </row>
    <row r="862" spans="1:1" ht="12.75" x14ac:dyDescent="0.2">
      <c r="A862" s="8"/>
    </row>
    <row r="863" spans="1:1" ht="12.75" x14ac:dyDescent="0.2">
      <c r="A863" s="8"/>
    </row>
    <row r="864" spans="1:1" ht="12.75" x14ac:dyDescent="0.2">
      <c r="A864" s="8"/>
    </row>
    <row r="865" spans="1:1" ht="12.75" x14ac:dyDescent="0.2">
      <c r="A865" s="8"/>
    </row>
    <row r="866" spans="1:1" ht="12.75" x14ac:dyDescent="0.2">
      <c r="A866" s="8"/>
    </row>
    <row r="867" spans="1:1" ht="12.75" x14ac:dyDescent="0.2">
      <c r="A867" s="8"/>
    </row>
    <row r="868" spans="1:1" ht="12.75" x14ac:dyDescent="0.2">
      <c r="A868" s="8"/>
    </row>
    <row r="869" spans="1:1" ht="12.75" x14ac:dyDescent="0.2">
      <c r="A869" s="8"/>
    </row>
    <row r="870" spans="1:1" ht="12.75" x14ac:dyDescent="0.2">
      <c r="A870" s="8"/>
    </row>
    <row r="871" spans="1:1" ht="12.75" x14ac:dyDescent="0.2">
      <c r="A871" s="8"/>
    </row>
    <row r="872" spans="1:1" ht="12.75" x14ac:dyDescent="0.2">
      <c r="A872" s="8"/>
    </row>
    <row r="873" spans="1:1" ht="12.75" x14ac:dyDescent="0.2">
      <c r="A873" s="8"/>
    </row>
    <row r="874" spans="1:1" ht="12.75" x14ac:dyDescent="0.2">
      <c r="A874" s="8"/>
    </row>
    <row r="875" spans="1:1" ht="12.75" x14ac:dyDescent="0.2">
      <c r="A875" s="8"/>
    </row>
    <row r="876" spans="1:1" ht="12.75" x14ac:dyDescent="0.2">
      <c r="A876" s="8"/>
    </row>
    <row r="877" spans="1:1" ht="12.75" x14ac:dyDescent="0.2">
      <c r="A877" s="8"/>
    </row>
    <row r="878" spans="1:1" ht="12.75" x14ac:dyDescent="0.2">
      <c r="A878" s="8"/>
    </row>
    <row r="879" spans="1:1" ht="12.75" x14ac:dyDescent="0.2">
      <c r="A879" s="8"/>
    </row>
    <row r="880" spans="1:1" ht="12.75" x14ac:dyDescent="0.2">
      <c r="A880" s="8"/>
    </row>
    <row r="881" spans="1:1" ht="12.75" x14ac:dyDescent="0.2">
      <c r="A881" s="8"/>
    </row>
    <row r="882" spans="1:1" ht="12.75" x14ac:dyDescent="0.2">
      <c r="A882" s="8"/>
    </row>
    <row r="883" spans="1:1" ht="12.75" x14ac:dyDescent="0.2">
      <c r="A883" s="8"/>
    </row>
    <row r="884" spans="1:1" ht="12.75" x14ac:dyDescent="0.2">
      <c r="A884" s="8"/>
    </row>
    <row r="885" spans="1:1" ht="12.75" x14ac:dyDescent="0.2">
      <c r="A885" s="8"/>
    </row>
    <row r="886" spans="1:1" ht="12.75" x14ac:dyDescent="0.2">
      <c r="A886" s="8"/>
    </row>
    <row r="887" spans="1:1" ht="12.75" x14ac:dyDescent="0.2">
      <c r="A887" s="8"/>
    </row>
    <row r="888" spans="1:1" ht="12.75" x14ac:dyDescent="0.2">
      <c r="A888" s="8"/>
    </row>
    <row r="889" spans="1:1" ht="12.75" x14ac:dyDescent="0.2">
      <c r="A889" s="8"/>
    </row>
    <row r="890" spans="1:1" ht="12.75" x14ac:dyDescent="0.2">
      <c r="A890" s="8"/>
    </row>
    <row r="891" spans="1:1" ht="12.75" x14ac:dyDescent="0.2">
      <c r="A891" s="8"/>
    </row>
    <row r="892" spans="1:1" ht="12.75" x14ac:dyDescent="0.2">
      <c r="A892" s="8"/>
    </row>
    <row r="893" spans="1:1" ht="12.75" x14ac:dyDescent="0.2">
      <c r="A893" s="8"/>
    </row>
    <row r="894" spans="1:1" ht="12.75" x14ac:dyDescent="0.2">
      <c r="A894" s="8"/>
    </row>
    <row r="895" spans="1:1" ht="12.75" x14ac:dyDescent="0.2">
      <c r="A895" s="8"/>
    </row>
    <row r="896" spans="1:1" ht="12.75" x14ac:dyDescent="0.2">
      <c r="A896" s="8"/>
    </row>
    <row r="897" spans="1:1" ht="12.75" x14ac:dyDescent="0.2">
      <c r="A897" s="8"/>
    </row>
    <row r="898" spans="1:1" ht="12.75" x14ac:dyDescent="0.2">
      <c r="A898" s="8"/>
    </row>
    <row r="899" spans="1:1" ht="12.75" x14ac:dyDescent="0.2">
      <c r="A899" s="8"/>
    </row>
    <row r="900" spans="1:1" ht="12.75" x14ac:dyDescent="0.2">
      <c r="A900" s="8"/>
    </row>
    <row r="901" spans="1:1" ht="12.75" x14ac:dyDescent="0.2">
      <c r="A901" s="8"/>
    </row>
    <row r="902" spans="1:1" ht="12.75" x14ac:dyDescent="0.2">
      <c r="A902" s="8"/>
    </row>
    <row r="903" spans="1:1" ht="12.75" x14ac:dyDescent="0.2">
      <c r="A903" s="8"/>
    </row>
    <row r="904" spans="1:1" ht="12.75" x14ac:dyDescent="0.2">
      <c r="A904" s="8"/>
    </row>
    <row r="905" spans="1:1" ht="12.75" x14ac:dyDescent="0.2">
      <c r="A905" s="8"/>
    </row>
    <row r="906" spans="1:1" ht="12.75" x14ac:dyDescent="0.2">
      <c r="A906" s="8"/>
    </row>
    <row r="907" spans="1:1" ht="12.75" x14ac:dyDescent="0.2">
      <c r="A907" s="8"/>
    </row>
    <row r="908" spans="1:1" ht="12.75" x14ac:dyDescent="0.2">
      <c r="A908" s="8"/>
    </row>
    <row r="909" spans="1:1" ht="12.75" x14ac:dyDescent="0.2">
      <c r="A909" s="8"/>
    </row>
    <row r="910" spans="1:1" ht="12.75" x14ac:dyDescent="0.2">
      <c r="A910" s="8"/>
    </row>
    <row r="911" spans="1:1" ht="12.75" x14ac:dyDescent="0.2">
      <c r="A911" s="8"/>
    </row>
    <row r="912" spans="1:1" ht="12.75" x14ac:dyDescent="0.2">
      <c r="A912" s="8"/>
    </row>
    <row r="913" spans="1:1" ht="12.75" x14ac:dyDescent="0.2">
      <c r="A913" s="8"/>
    </row>
    <row r="914" spans="1:1" ht="12.75" x14ac:dyDescent="0.2">
      <c r="A914" s="8"/>
    </row>
    <row r="915" spans="1:1" ht="12.75" x14ac:dyDescent="0.2">
      <c r="A915" s="8"/>
    </row>
    <row r="916" spans="1:1" ht="12.75" x14ac:dyDescent="0.2">
      <c r="A916" s="8"/>
    </row>
    <row r="917" spans="1:1" ht="12.75" x14ac:dyDescent="0.2">
      <c r="A917" s="8"/>
    </row>
    <row r="918" spans="1:1" ht="12.75" x14ac:dyDescent="0.2">
      <c r="A918" s="8"/>
    </row>
    <row r="919" spans="1:1" ht="12.75" x14ac:dyDescent="0.2">
      <c r="A919" s="8"/>
    </row>
    <row r="920" spans="1:1" ht="12.75" x14ac:dyDescent="0.2">
      <c r="A920" s="8"/>
    </row>
    <row r="921" spans="1:1" ht="12.75" x14ac:dyDescent="0.2">
      <c r="A921" s="8"/>
    </row>
    <row r="922" spans="1:1" ht="12.75" x14ac:dyDescent="0.2">
      <c r="A922" s="8"/>
    </row>
    <row r="923" spans="1:1" ht="12.75" x14ac:dyDescent="0.2">
      <c r="A923" s="8"/>
    </row>
    <row r="924" spans="1:1" ht="12.75" x14ac:dyDescent="0.2">
      <c r="A924" s="8"/>
    </row>
    <row r="925" spans="1:1" ht="12.75" x14ac:dyDescent="0.2">
      <c r="A925" s="8"/>
    </row>
    <row r="926" spans="1:1" ht="12.75" x14ac:dyDescent="0.2">
      <c r="A926" s="8"/>
    </row>
    <row r="927" spans="1:1" ht="12.75" x14ac:dyDescent="0.2">
      <c r="A927" s="8"/>
    </row>
    <row r="928" spans="1:1" ht="12.75" x14ac:dyDescent="0.2">
      <c r="A928" s="8"/>
    </row>
    <row r="929" spans="1:1" ht="12.75" x14ac:dyDescent="0.2">
      <c r="A929" s="8"/>
    </row>
    <row r="930" spans="1:1" ht="12.75" x14ac:dyDescent="0.2">
      <c r="A930" s="8"/>
    </row>
    <row r="931" spans="1:1" ht="12.75" x14ac:dyDescent="0.2">
      <c r="A931" s="8"/>
    </row>
    <row r="932" spans="1:1" ht="12.75" x14ac:dyDescent="0.2">
      <c r="A932" s="8"/>
    </row>
    <row r="933" spans="1:1" ht="12.75" x14ac:dyDescent="0.2">
      <c r="A933" s="8"/>
    </row>
    <row r="934" spans="1:1" ht="12.75" x14ac:dyDescent="0.2">
      <c r="A934" s="8"/>
    </row>
    <row r="935" spans="1:1" ht="12.75" x14ac:dyDescent="0.2">
      <c r="A935" s="8"/>
    </row>
    <row r="936" spans="1:1" ht="12.75" x14ac:dyDescent="0.2">
      <c r="A936" s="8"/>
    </row>
    <row r="937" spans="1:1" ht="12.75" x14ac:dyDescent="0.2">
      <c r="A937" s="8"/>
    </row>
    <row r="938" spans="1:1" ht="12.75" x14ac:dyDescent="0.2">
      <c r="A938" s="8"/>
    </row>
    <row r="939" spans="1:1" ht="12.75" x14ac:dyDescent="0.2">
      <c r="A939" s="8"/>
    </row>
    <row r="940" spans="1:1" ht="12.75" x14ac:dyDescent="0.2">
      <c r="A940" s="8"/>
    </row>
    <row r="941" spans="1:1" ht="12.75" x14ac:dyDescent="0.2">
      <c r="A941" s="8"/>
    </row>
    <row r="942" spans="1:1" ht="12.75" x14ac:dyDescent="0.2">
      <c r="A942" s="8"/>
    </row>
    <row r="943" spans="1:1" ht="12.75" x14ac:dyDescent="0.2">
      <c r="A943" s="8"/>
    </row>
    <row r="944" spans="1:1" ht="12.75" x14ac:dyDescent="0.2">
      <c r="A944" s="8"/>
    </row>
    <row r="945" spans="1:1" ht="12.75" x14ac:dyDescent="0.2">
      <c r="A945" s="8"/>
    </row>
    <row r="946" spans="1:1" ht="12.75" x14ac:dyDescent="0.2">
      <c r="A946" s="8"/>
    </row>
    <row r="947" spans="1:1" ht="12.75" x14ac:dyDescent="0.2">
      <c r="A947" s="8"/>
    </row>
    <row r="948" spans="1:1" ht="12.75" x14ac:dyDescent="0.2">
      <c r="A948" s="8"/>
    </row>
    <row r="949" spans="1:1" ht="12.75" x14ac:dyDescent="0.2">
      <c r="A949" s="8"/>
    </row>
    <row r="950" spans="1:1" ht="12.75" x14ac:dyDescent="0.2">
      <c r="A950" s="8"/>
    </row>
    <row r="951" spans="1:1" ht="12.75" x14ac:dyDescent="0.2">
      <c r="A951" s="8"/>
    </row>
    <row r="952" spans="1:1" ht="12.75" x14ac:dyDescent="0.2">
      <c r="A952" s="8"/>
    </row>
    <row r="953" spans="1:1" ht="12.75" x14ac:dyDescent="0.2">
      <c r="A953" s="8"/>
    </row>
    <row r="954" spans="1:1" ht="12.75" x14ac:dyDescent="0.2">
      <c r="A954" s="8"/>
    </row>
    <row r="955" spans="1:1" ht="12.75" x14ac:dyDescent="0.2">
      <c r="A955" s="8"/>
    </row>
    <row r="956" spans="1:1" ht="12.75" x14ac:dyDescent="0.2">
      <c r="A956" s="8"/>
    </row>
    <row r="957" spans="1:1" ht="12.75" x14ac:dyDescent="0.2">
      <c r="A957" s="8"/>
    </row>
    <row r="958" spans="1:1" ht="12.75" x14ac:dyDescent="0.2">
      <c r="A958" s="8"/>
    </row>
    <row r="959" spans="1:1" ht="12.75" x14ac:dyDescent="0.2">
      <c r="A959" s="8"/>
    </row>
    <row r="960" spans="1:1" ht="12.75" x14ac:dyDescent="0.2">
      <c r="A960" s="8"/>
    </row>
    <row r="961" spans="1:1" ht="12.75" x14ac:dyDescent="0.2">
      <c r="A961" s="8"/>
    </row>
    <row r="962" spans="1:1" ht="12.75" x14ac:dyDescent="0.2">
      <c r="A962" s="8"/>
    </row>
    <row r="963" spans="1:1" ht="12.75" x14ac:dyDescent="0.2">
      <c r="A963" s="8"/>
    </row>
    <row r="964" spans="1:1" ht="12.75" x14ac:dyDescent="0.2">
      <c r="A964" s="8"/>
    </row>
    <row r="965" spans="1:1" ht="12.75" x14ac:dyDescent="0.2">
      <c r="A965" s="8"/>
    </row>
    <row r="966" spans="1:1" ht="12.75" x14ac:dyDescent="0.2">
      <c r="A966" s="8"/>
    </row>
    <row r="967" spans="1:1" ht="12.75" x14ac:dyDescent="0.2">
      <c r="A967" s="8"/>
    </row>
    <row r="968" spans="1:1" ht="12.75" x14ac:dyDescent="0.2">
      <c r="A968" s="8"/>
    </row>
    <row r="969" spans="1:1" ht="12.75" x14ac:dyDescent="0.2">
      <c r="A969" s="8"/>
    </row>
    <row r="970" spans="1:1" ht="12.75" x14ac:dyDescent="0.2">
      <c r="A970" s="8"/>
    </row>
    <row r="971" spans="1:1" ht="12.75" x14ac:dyDescent="0.2">
      <c r="A971" s="8"/>
    </row>
    <row r="972" spans="1:1" ht="12.75" x14ac:dyDescent="0.2">
      <c r="A972" s="8"/>
    </row>
    <row r="973" spans="1:1" ht="12.75" x14ac:dyDescent="0.2">
      <c r="A973" s="8"/>
    </row>
    <row r="974" spans="1:1" ht="12.75" x14ac:dyDescent="0.2">
      <c r="A974" s="8"/>
    </row>
    <row r="975" spans="1:1" ht="12.75" x14ac:dyDescent="0.2">
      <c r="A975" s="8"/>
    </row>
    <row r="976" spans="1:1" ht="12.75" x14ac:dyDescent="0.2">
      <c r="A976" s="8"/>
    </row>
    <row r="977" spans="1:1" ht="12.75" x14ac:dyDescent="0.2">
      <c r="A977" s="8"/>
    </row>
    <row r="978" spans="1:1" ht="12.75" x14ac:dyDescent="0.2">
      <c r="A978" s="8"/>
    </row>
    <row r="979" spans="1:1" ht="12.75" x14ac:dyDescent="0.2">
      <c r="A979" s="8"/>
    </row>
    <row r="980" spans="1:1" ht="12.75" x14ac:dyDescent="0.2">
      <c r="A980" s="8"/>
    </row>
    <row r="981" spans="1:1" ht="12.75" x14ac:dyDescent="0.2">
      <c r="A981" s="8"/>
    </row>
    <row r="982" spans="1:1" ht="12.75" x14ac:dyDescent="0.2">
      <c r="A982" s="8"/>
    </row>
    <row r="983" spans="1:1" ht="12.75" x14ac:dyDescent="0.2">
      <c r="A983" s="8"/>
    </row>
    <row r="984" spans="1:1" ht="12.75" x14ac:dyDescent="0.2">
      <c r="A984" s="8"/>
    </row>
    <row r="985" spans="1:1" ht="12.75" x14ac:dyDescent="0.2">
      <c r="A985" s="8"/>
    </row>
    <row r="986" spans="1:1" ht="12.75" x14ac:dyDescent="0.2">
      <c r="A986" s="8"/>
    </row>
    <row r="987" spans="1:1" ht="12.75" x14ac:dyDescent="0.2">
      <c r="A987" s="8"/>
    </row>
    <row r="988" spans="1:1" ht="12.75" x14ac:dyDescent="0.2">
      <c r="A988" s="8"/>
    </row>
    <row r="989" spans="1:1" ht="12.75" x14ac:dyDescent="0.2">
      <c r="A989" s="8"/>
    </row>
    <row r="990" spans="1:1" ht="12.75" x14ac:dyDescent="0.2">
      <c r="A990" s="8"/>
    </row>
    <row r="991" spans="1:1" ht="12.75" x14ac:dyDescent="0.2">
      <c r="A991" s="8"/>
    </row>
    <row r="992" spans="1:1" ht="12.75" x14ac:dyDescent="0.2">
      <c r="A992" s="8"/>
    </row>
    <row r="993" spans="1:1" ht="12.75" x14ac:dyDescent="0.2">
      <c r="A993" s="8"/>
    </row>
    <row r="994" spans="1:1" ht="12.75" x14ac:dyDescent="0.2">
      <c r="A994" s="8"/>
    </row>
    <row r="995" spans="1:1" ht="12.75" x14ac:dyDescent="0.2">
      <c r="A995" s="8"/>
    </row>
    <row r="996" spans="1:1" ht="12.75" x14ac:dyDescent="0.2">
      <c r="A996" s="8"/>
    </row>
    <row r="997" spans="1:1" ht="12.75" x14ac:dyDescent="0.2">
      <c r="A997" s="8"/>
    </row>
    <row r="998" spans="1:1" ht="12.75" x14ac:dyDescent="0.2">
      <c r="A998" s="8"/>
    </row>
    <row r="999" spans="1:1" ht="12.75" x14ac:dyDescent="0.2">
      <c r="A999" s="8"/>
    </row>
    <row r="1000" spans="1:1" ht="12.75" x14ac:dyDescent="0.2">
      <c r="A1000" s="8"/>
    </row>
    <row r="1001" spans="1:1" ht="12.75" x14ac:dyDescent="0.2">
      <c r="A1001" s="8"/>
    </row>
    <row r="1002" spans="1:1" ht="12.75" x14ac:dyDescent="0.2">
      <c r="A1002" s="8"/>
    </row>
    <row r="1003" spans="1:1" ht="12.75" x14ac:dyDescent="0.2">
      <c r="A1003" s="8"/>
    </row>
    <row r="1004" spans="1:1" ht="12.75" x14ac:dyDescent="0.2">
      <c r="A1004" s="8"/>
    </row>
    <row r="1005" spans="1:1" ht="12.75" x14ac:dyDescent="0.2">
      <c r="A1005" s="8"/>
    </row>
    <row r="1006" spans="1:1" ht="12.75" x14ac:dyDescent="0.2">
      <c r="A1006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A918"/>
  <sheetViews>
    <sheetView zoomScale="75" zoomScaleNormal="75" workbookViewId="0">
      <pane ySplit="1" topLeftCell="A2" activePane="bottomLeft" state="frozen"/>
      <selection activeCell="H24" sqref="H24"/>
      <selection pane="bottomLeft" activeCell="E6" sqref="E6"/>
    </sheetView>
  </sheetViews>
  <sheetFormatPr defaultColWidth="14.42578125" defaultRowHeight="12.75" x14ac:dyDescent="0.2"/>
  <cols>
    <col min="1" max="1" width="11.42578125" style="2" customWidth="1"/>
    <col min="2" max="2" width="9.7109375" style="2" customWidth="1"/>
    <col min="3" max="3" width="11.85546875" style="2" customWidth="1"/>
    <col min="4" max="4" width="16.42578125" style="2" customWidth="1"/>
    <col min="5" max="5" width="14.42578125" style="2" bestFit="1" customWidth="1"/>
    <col min="6" max="6" width="23.28515625" style="2" customWidth="1"/>
    <col min="7" max="7" width="22.7109375" style="2" customWidth="1"/>
    <col min="8" max="8" width="60.28515625" style="2" customWidth="1"/>
    <col min="9" max="9" width="15.28515625" style="2" customWidth="1"/>
    <col min="10" max="10" width="11.5703125" style="2" customWidth="1"/>
    <col min="11" max="11" width="12.42578125" style="2" customWidth="1"/>
    <col min="12" max="12" width="12.140625" style="2" customWidth="1"/>
    <col min="13" max="16384" width="14.42578125" style="2"/>
  </cols>
  <sheetData>
    <row r="1" spans="1:27" ht="79.150000000000006" customHeight="1" x14ac:dyDescent="0.2">
      <c r="A1" s="267" t="s">
        <v>677</v>
      </c>
      <c r="B1" s="267" t="s">
        <v>678</v>
      </c>
      <c r="C1" s="267" t="s">
        <v>679</v>
      </c>
      <c r="D1" s="267" t="s">
        <v>680</v>
      </c>
      <c r="E1" s="267" t="s">
        <v>681</v>
      </c>
      <c r="F1" s="267" t="s">
        <v>682</v>
      </c>
      <c r="G1" s="267" t="s">
        <v>683</v>
      </c>
      <c r="H1" s="267" t="s">
        <v>707</v>
      </c>
      <c r="I1" s="267" t="s">
        <v>684</v>
      </c>
      <c r="J1" s="267" t="s">
        <v>685</v>
      </c>
      <c r="K1" s="267" t="s">
        <v>686</v>
      </c>
      <c r="L1" s="267" t="s">
        <v>687</v>
      </c>
      <c r="M1" s="267" t="s">
        <v>688</v>
      </c>
      <c r="N1" s="267" t="s">
        <v>689</v>
      </c>
      <c r="O1" s="267" t="s">
        <v>690</v>
      </c>
      <c r="P1" s="267" t="s">
        <v>691</v>
      </c>
      <c r="Q1" s="267" t="s">
        <v>692</v>
      </c>
      <c r="R1" s="267" t="s">
        <v>693</v>
      </c>
      <c r="S1" s="267" t="s">
        <v>694</v>
      </c>
      <c r="T1" s="267" t="s">
        <v>695</v>
      </c>
      <c r="U1" s="28"/>
      <c r="V1" s="28"/>
      <c r="W1" s="28"/>
      <c r="X1" s="28"/>
      <c r="Y1" s="28"/>
      <c r="Z1" s="28"/>
      <c r="AA1" s="28"/>
    </row>
    <row r="2" spans="1:27" s="48" customFormat="1" ht="244.15" customHeight="1" x14ac:dyDescent="0.2">
      <c r="A2" s="275" t="s">
        <v>696</v>
      </c>
      <c r="B2" s="275" t="s">
        <v>697</v>
      </c>
      <c r="C2" s="275" t="s">
        <v>698</v>
      </c>
      <c r="D2" s="275" t="s">
        <v>697</v>
      </c>
      <c r="E2" s="275" t="s">
        <v>699</v>
      </c>
      <c r="F2" s="276" t="s">
        <v>700</v>
      </c>
      <c r="G2" s="276" t="s">
        <v>701</v>
      </c>
      <c r="H2" s="275" t="s">
        <v>702</v>
      </c>
      <c r="I2" s="277" t="s">
        <v>703</v>
      </c>
      <c r="J2" s="275" t="s">
        <v>704</v>
      </c>
      <c r="K2" s="278"/>
      <c r="L2" s="277" t="s">
        <v>687</v>
      </c>
      <c r="M2" s="278"/>
      <c r="N2" s="277" t="s">
        <v>705</v>
      </c>
      <c r="O2" s="278"/>
      <c r="P2" s="277" t="s">
        <v>227</v>
      </c>
      <c r="Q2" s="278"/>
      <c r="R2" s="277" t="s">
        <v>706</v>
      </c>
      <c r="S2" s="278"/>
      <c r="T2" s="278"/>
      <c r="U2" s="8"/>
      <c r="V2" s="8"/>
      <c r="W2" s="8"/>
      <c r="X2" s="8"/>
      <c r="Y2" s="8"/>
      <c r="Z2" s="8"/>
      <c r="AA2" s="8"/>
    </row>
    <row r="3" spans="1:27" x14ac:dyDescent="0.2">
      <c r="A3" s="268"/>
      <c r="B3" s="269"/>
      <c r="C3" s="270"/>
      <c r="D3" s="271"/>
      <c r="E3" s="71"/>
      <c r="F3" s="71"/>
      <c r="G3" s="71"/>
      <c r="H3" s="71"/>
      <c r="I3" s="270"/>
      <c r="J3" s="272"/>
      <c r="K3" s="273"/>
      <c r="L3" s="273"/>
      <c r="M3" s="274"/>
      <c r="N3" s="274"/>
      <c r="O3" s="274"/>
      <c r="P3" s="274"/>
      <c r="Q3" s="274"/>
      <c r="R3" s="274"/>
      <c r="S3" s="274"/>
      <c r="T3" s="274"/>
      <c r="U3" s="28"/>
      <c r="V3" s="28"/>
      <c r="W3" s="28"/>
      <c r="X3" s="28"/>
      <c r="Y3" s="28"/>
      <c r="Z3" s="28"/>
      <c r="AA3" s="28"/>
    </row>
    <row r="4" spans="1:27" x14ac:dyDescent="0.2">
      <c r="A4" s="268"/>
      <c r="B4" s="269"/>
      <c r="C4" s="270"/>
      <c r="D4" s="271"/>
      <c r="E4" s="71"/>
      <c r="F4" s="71"/>
      <c r="G4" s="71"/>
      <c r="H4" s="71"/>
      <c r="I4" s="270"/>
      <c r="J4" s="272"/>
      <c r="K4" s="273"/>
      <c r="L4" s="273"/>
      <c r="M4" s="274"/>
      <c r="N4" s="274"/>
      <c r="O4" s="274"/>
      <c r="P4" s="274"/>
      <c r="Q4" s="274"/>
      <c r="R4" s="274"/>
      <c r="S4" s="274"/>
      <c r="T4" s="274"/>
      <c r="U4" s="28"/>
      <c r="V4" s="28"/>
      <c r="W4" s="28"/>
      <c r="X4" s="28"/>
      <c r="Y4" s="28"/>
      <c r="Z4" s="28"/>
      <c r="AA4" s="28"/>
    </row>
    <row r="5" spans="1:27" x14ac:dyDescent="0.2">
      <c r="A5" s="268"/>
      <c r="B5" s="269"/>
      <c r="C5" s="270"/>
      <c r="D5" s="271"/>
      <c r="E5" s="71"/>
      <c r="F5" s="71"/>
      <c r="G5" s="71"/>
      <c r="H5" s="71"/>
      <c r="I5" s="270"/>
      <c r="J5" s="272"/>
      <c r="K5" s="273"/>
      <c r="L5" s="273"/>
      <c r="M5" s="274"/>
      <c r="N5" s="274"/>
      <c r="O5" s="274"/>
      <c r="P5" s="274"/>
      <c r="Q5" s="274"/>
      <c r="R5" s="274"/>
      <c r="S5" s="274"/>
      <c r="T5" s="274"/>
      <c r="U5" s="28"/>
      <c r="V5" s="28"/>
      <c r="W5" s="28"/>
      <c r="X5" s="28"/>
      <c r="Y5" s="28"/>
      <c r="Z5" s="28"/>
      <c r="AA5" s="28"/>
    </row>
    <row r="6" spans="1:27" x14ac:dyDescent="0.2">
      <c r="A6" s="268"/>
      <c r="B6" s="269"/>
      <c r="C6" s="270"/>
      <c r="D6" s="271"/>
      <c r="E6" s="71"/>
      <c r="F6" s="71"/>
      <c r="G6" s="71"/>
      <c r="H6" s="71"/>
      <c r="I6" s="270"/>
      <c r="J6" s="272"/>
      <c r="K6" s="273"/>
      <c r="L6" s="273"/>
      <c r="M6" s="274"/>
      <c r="N6" s="274"/>
      <c r="O6" s="274"/>
      <c r="P6" s="274"/>
      <c r="Q6" s="274"/>
      <c r="R6" s="274"/>
      <c r="S6" s="274"/>
      <c r="T6" s="274"/>
      <c r="U6" s="28"/>
      <c r="V6" s="28"/>
      <c r="W6" s="28"/>
      <c r="X6" s="28"/>
      <c r="Y6" s="28"/>
      <c r="Z6" s="28"/>
      <c r="AA6" s="28"/>
    </row>
    <row r="7" spans="1:27" x14ac:dyDescent="0.2">
      <c r="A7" s="268"/>
      <c r="B7" s="269"/>
      <c r="C7" s="270"/>
      <c r="D7" s="271"/>
      <c r="E7" s="71"/>
      <c r="F7" s="71"/>
      <c r="G7" s="71"/>
      <c r="H7" s="71"/>
      <c r="I7" s="270"/>
      <c r="J7" s="272"/>
      <c r="K7" s="273"/>
      <c r="L7" s="273"/>
      <c r="M7" s="274"/>
      <c r="N7" s="274"/>
      <c r="O7" s="274"/>
      <c r="P7" s="274"/>
      <c r="Q7" s="274"/>
      <c r="R7" s="274"/>
      <c r="S7" s="274"/>
      <c r="T7" s="274"/>
      <c r="U7" s="28"/>
      <c r="V7" s="28"/>
      <c r="W7" s="28"/>
      <c r="X7" s="28"/>
      <c r="Y7" s="28"/>
      <c r="Z7" s="28"/>
      <c r="AA7" s="28"/>
    </row>
    <row r="8" spans="1:27" x14ac:dyDescent="0.2">
      <c r="A8" s="268"/>
      <c r="B8" s="269"/>
      <c r="C8" s="270"/>
      <c r="D8" s="271"/>
      <c r="E8" s="71"/>
      <c r="F8" s="71"/>
      <c r="G8" s="71"/>
      <c r="H8" s="71"/>
      <c r="I8" s="270"/>
      <c r="J8" s="272"/>
      <c r="K8" s="273"/>
      <c r="L8" s="273"/>
      <c r="M8" s="274"/>
      <c r="N8" s="274"/>
      <c r="O8" s="274"/>
      <c r="P8" s="274"/>
      <c r="Q8" s="274"/>
      <c r="R8" s="274"/>
      <c r="S8" s="274"/>
      <c r="T8" s="274"/>
      <c r="U8" s="28"/>
      <c r="V8" s="28"/>
      <c r="W8" s="28"/>
      <c r="X8" s="28"/>
      <c r="Y8" s="28"/>
      <c r="Z8" s="28"/>
      <c r="AA8" s="28"/>
    </row>
    <row r="9" spans="1:27" x14ac:dyDescent="0.2">
      <c r="A9" s="268"/>
      <c r="B9" s="269"/>
      <c r="C9" s="270"/>
      <c r="D9" s="271"/>
      <c r="E9" s="71"/>
      <c r="F9" s="71"/>
      <c r="G9" s="71"/>
      <c r="H9" s="71"/>
      <c r="I9" s="270"/>
      <c r="J9" s="272"/>
      <c r="K9" s="273"/>
      <c r="L9" s="273"/>
      <c r="M9" s="274"/>
      <c r="N9" s="274"/>
      <c r="O9" s="274"/>
      <c r="P9" s="274"/>
      <c r="Q9" s="274"/>
      <c r="R9" s="274"/>
      <c r="S9" s="274"/>
      <c r="T9" s="274"/>
      <c r="U9" s="28"/>
      <c r="V9" s="28"/>
      <c r="W9" s="28"/>
      <c r="X9" s="28"/>
      <c r="Y9" s="28"/>
      <c r="Z9" s="28"/>
      <c r="AA9" s="28"/>
    </row>
    <row r="10" spans="1:27" x14ac:dyDescent="0.2">
      <c r="A10" s="268"/>
      <c r="B10" s="269"/>
      <c r="C10" s="270"/>
      <c r="D10" s="271"/>
      <c r="E10" s="71"/>
      <c r="F10" s="71"/>
      <c r="G10" s="71"/>
      <c r="H10" s="71"/>
      <c r="I10" s="270"/>
      <c r="J10" s="272"/>
      <c r="K10" s="273"/>
      <c r="L10" s="273"/>
      <c r="M10" s="274"/>
      <c r="N10" s="274"/>
      <c r="O10" s="274"/>
      <c r="P10" s="274"/>
      <c r="Q10" s="274"/>
      <c r="R10" s="274"/>
      <c r="S10" s="274"/>
      <c r="T10" s="274"/>
      <c r="U10" s="28"/>
      <c r="V10" s="28"/>
      <c r="W10" s="28"/>
      <c r="X10" s="28"/>
      <c r="Y10" s="28"/>
      <c r="Z10" s="28"/>
      <c r="AA10" s="28"/>
    </row>
    <row r="11" spans="1:27" x14ac:dyDescent="0.2">
      <c r="A11" s="268"/>
      <c r="B11" s="269"/>
      <c r="C11" s="270"/>
      <c r="D11" s="271"/>
      <c r="E11" s="71"/>
      <c r="F11" s="71"/>
      <c r="G11" s="71"/>
      <c r="H11" s="71"/>
      <c r="I11" s="270"/>
      <c r="J11" s="272"/>
      <c r="K11" s="273"/>
      <c r="L11" s="273"/>
      <c r="M11" s="274"/>
      <c r="N11" s="274"/>
      <c r="O11" s="274"/>
      <c r="P11" s="274"/>
      <c r="Q11" s="274"/>
      <c r="R11" s="274"/>
      <c r="S11" s="274"/>
      <c r="T11" s="274"/>
      <c r="U11" s="28"/>
      <c r="V11" s="28"/>
      <c r="W11" s="28"/>
      <c r="X11" s="28"/>
      <c r="Y11" s="28"/>
      <c r="Z11" s="28"/>
      <c r="AA11" s="28"/>
    </row>
    <row r="12" spans="1:27" x14ac:dyDescent="0.2">
      <c r="A12" s="268"/>
      <c r="B12" s="269"/>
      <c r="C12" s="270"/>
      <c r="D12" s="271"/>
      <c r="E12" s="71"/>
      <c r="F12" s="71"/>
      <c r="G12" s="71"/>
      <c r="H12" s="71"/>
      <c r="I12" s="270"/>
      <c r="J12" s="272"/>
      <c r="K12" s="273"/>
      <c r="L12" s="273"/>
      <c r="M12" s="274"/>
      <c r="N12" s="274"/>
      <c r="O12" s="274"/>
      <c r="P12" s="274"/>
      <c r="Q12" s="274"/>
      <c r="R12" s="274"/>
      <c r="S12" s="274"/>
      <c r="T12" s="274"/>
      <c r="U12" s="28"/>
      <c r="V12" s="28"/>
      <c r="W12" s="28"/>
      <c r="X12" s="28"/>
      <c r="Y12" s="28"/>
      <c r="Z12" s="28"/>
      <c r="AA12" s="28"/>
    </row>
    <row r="13" spans="1:27" x14ac:dyDescent="0.2">
      <c r="A13" s="268"/>
      <c r="B13" s="269"/>
      <c r="C13" s="270"/>
      <c r="D13" s="271"/>
      <c r="E13" s="71"/>
      <c r="F13" s="71"/>
      <c r="G13" s="71"/>
      <c r="H13" s="71"/>
      <c r="I13" s="270"/>
      <c r="J13" s="272"/>
      <c r="K13" s="273"/>
      <c r="L13" s="273"/>
      <c r="M13" s="274"/>
      <c r="N13" s="274"/>
      <c r="O13" s="274"/>
      <c r="P13" s="274"/>
      <c r="Q13" s="274"/>
      <c r="R13" s="274"/>
      <c r="S13" s="274"/>
      <c r="T13" s="274"/>
      <c r="U13" s="28"/>
      <c r="V13" s="28"/>
      <c r="W13" s="28"/>
      <c r="X13" s="28"/>
      <c r="Y13" s="28"/>
      <c r="Z13" s="28"/>
      <c r="AA13" s="28"/>
    </row>
    <row r="14" spans="1:27" x14ac:dyDescent="0.2">
      <c r="A14" s="268"/>
      <c r="B14" s="269"/>
      <c r="C14" s="270"/>
      <c r="D14" s="271"/>
      <c r="E14" s="71"/>
      <c r="F14" s="71"/>
      <c r="G14" s="71"/>
      <c r="H14" s="71"/>
      <c r="I14" s="270"/>
      <c r="J14" s="272"/>
      <c r="K14" s="273"/>
      <c r="L14" s="273"/>
      <c r="M14" s="274"/>
      <c r="N14" s="274"/>
      <c r="O14" s="274"/>
      <c r="P14" s="274"/>
      <c r="Q14" s="274"/>
      <c r="R14" s="274"/>
      <c r="S14" s="274"/>
      <c r="T14" s="274"/>
      <c r="U14" s="28"/>
      <c r="V14" s="28"/>
      <c r="W14" s="28"/>
      <c r="X14" s="28"/>
      <c r="Y14" s="28"/>
      <c r="Z14" s="28"/>
      <c r="AA14" s="28"/>
    </row>
    <row r="15" spans="1:27" x14ac:dyDescent="0.2">
      <c r="A15" s="268"/>
      <c r="B15" s="269"/>
      <c r="C15" s="270"/>
      <c r="D15" s="271"/>
      <c r="E15" s="71"/>
      <c r="F15" s="71"/>
      <c r="G15" s="71"/>
      <c r="H15" s="71"/>
      <c r="I15" s="270"/>
      <c r="J15" s="272"/>
      <c r="K15" s="273"/>
      <c r="L15" s="273"/>
      <c r="M15" s="274"/>
      <c r="N15" s="274"/>
      <c r="O15" s="274"/>
      <c r="P15" s="274"/>
      <c r="Q15" s="274"/>
      <c r="R15" s="274"/>
      <c r="S15" s="274"/>
      <c r="T15" s="274"/>
      <c r="U15" s="28"/>
      <c r="V15" s="28"/>
      <c r="W15" s="28"/>
      <c r="X15" s="28"/>
      <c r="Y15" s="28"/>
      <c r="Z15" s="28"/>
      <c r="AA15" s="28"/>
    </row>
    <row r="16" spans="1:27" x14ac:dyDescent="0.2">
      <c r="A16" s="268"/>
      <c r="B16" s="269"/>
      <c r="C16" s="270"/>
      <c r="D16" s="271"/>
      <c r="E16" s="71"/>
      <c r="F16" s="71"/>
      <c r="G16" s="71"/>
      <c r="H16" s="71"/>
      <c r="I16" s="270"/>
      <c r="J16" s="272"/>
      <c r="K16" s="273"/>
      <c r="L16" s="273"/>
      <c r="M16" s="274"/>
      <c r="N16" s="274"/>
      <c r="O16" s="274"/>
      <c r="P16" s="274"/>
      <c r="Q16" s="274"/>
      <c r="R16" s="274"/>
      <c r="S16" s="274"/>
      <c r="T16" s="274"/>
      <c r="U16" s="28"/>
      <c r="V16" s="28"/>
      <c r="W16" s="28"/>
      <c r="X16" s="28"/>
      <c r="Y16" s="28"/>
      <c r="Z16" s="28"/>
      <c r="AA16" s="28"/>
    </row>
    <row r="17" spans="1:27" x14ac:dyDescent="0.2">
      <c r="A17" s="268"/>
      <c r="B17" s="269"/>
      <c r="C17" s="270"/>
      <c r="D17" s="271"/>
      <c r="E17" s="71"/>
      <c r="F17" s="71"/>
      <c r="G17" s="71"/>
      <c r="H17" s="71"/>
      <c r="I17" s="270"/>
      <c r="J17" s="272"/>
      <c r="K17" s="273"/>
      <c r="L17" s="273"/>
      <c r="M17" s="274"/>
      <c r="N17" s="274"/>
      <c r="O17" s="274"/>
      <c r="P17" s="274"/>
      <c r="Q17" s="274"/>
      <c r="R17" s="274"/>
      <c r="S17" s="274"/>
      <c r="T17" s="274"/>
      <c r="U17" s="28"/>
      <c r="V17" s="28"/>
      <c r="W17" s="28"/>
      <c r="X17" s="28"/>
      <c r="Y17" s="28"/>
      <c r="Z17" s="28"/>
      <c r="AA17" s="28"/>
    </row>
    <row r="18" spans="1:27" x14ac:dyDescent="0.2">
      <c r="A18" s="268"/>
      <c r="B18" s="269"/>
      <c r="C18" s="270"/>
      <c r="D18" s="271"/>
      <c r="E18" s="71"/>
      <c r="F18" s="71"/>
      <c r="G18" s="71"/>
      <c r="H18" s="71"/>
      <c r="I18" s="270"/>
      <c r="J18" s="272"/>
      <c r="K18" s="273"/>
      <c r="L18" s="273"/>
      <c r="M18" s="274"/>
      <c r="N18" s="274"/>
      <c r="O18" s="274"/>
      <c r="P18" s="274"/>
      <c r="Q18" s="274"/>
      <c r="R18" s="274"/>
      <c r="S18" s="274"/>
      <c r="T18" s="274"/>
      <c r="U18" s="28"/>
      <c r="V18" s="28"/>
      <c r="W18" s="28"/>
      <c r="X18" s="28"/>
      <c r="Y18" s="28"/>
      <c r="Z18" s="28"/>
      <c r="AA18" s="28"/>
    </row>
    <row r="19" spans="1:27" x14ac:dyDescent="0.2">
      <c r="A19" s="268"/>
      <c r="B19" s="269"/>
      <c r="C19" s="270"/>
      <c r="D19" s="271"/>
      <c r="E19" s="71"/>
      <c r="F19" s="71"/>
      <c r="G19" s="71"/>
      <c r="H19" s="71"/>
      <c r="I19" s="270"/>
      <c r="J19" s="272"/>
      <c r="K19" s="273"/>
      <c r="L19" s="273"/>
      <c r="M19" s="274"/>
      <c r="N19" s="274"/>
      <c r="O19" s="274"/>
      <c r="P19" s="274"/>
      <c r="Q19" s="274"/>
      <c r="R19" s="274"/>
      <c r="S19" s="274"/>
      <c r="T19" s="274"/>
      <c r="U19" s="28"/>
      <c r="V19" s="28"/>
      <c r="W19" s="28"/>
      <c r="X19" s="28"/>
      <c r="Y19" s="28"/>
      <c r="Z19" s="28"/>
      <c r="AA19" s="28"/>
    </row>
    <row r="20" spans="1:27" x14ac:dyDescent="0.2">
      <c r="A20" s="268"/>
      <c r="B20" s="269"/>
      <c r="C20" s="270"/>
      <c r="D20" s="271"/>
      <c r="E20" s="71"/>
      <c r="F20" s="71"/>
      <c r="G20" s="71"/>
      <c r="H20" s="71"/>
      <c r="I20" s="270"/>
      <c r="J20" s="272"/>
      <c r="K20" s="273"/>
      <c r="L20" s="273"/>
      <c r="M20" s="274"/>
      <c r="N20" s="274"/>
      <c r="O20" s="274"/>
      <c r="P20" s="274"/>
      <c r="Q20" s="274"/>
      <c r="R20" s="274"/>
      <c r="S20" s="274"/>
      <c r="T20" s="274"/>
      <c r="U20" s="28"/>
      <c r="V20" s="28"/>
      <c r="W20" s="28"/>
      <c r="X20" s="28"/>
      <c r="Y20" s="28"/>
      <c r="Z20" s="28"/>
      <c r="AA20" s="28"/>
    </row>
    <row r="21" spans="1:27" x14ac:dyDescent="0.2">
      <c r="A21" s="268"/>
      <c r="B21" s="269"/>
      <c r="C21" s="270"/>
      <c r="D21" s="271"/>
      <c r="E21" s="71"/>
      <c r="F21" s="71"/>
      <c r="G21" s="71"/>
      <c r="H21" s="71"/>
      <c r="I21" s="270"/>
      <c r="J21" s="272"/>
      <c r="K21" s="273"/>
      <c r="L21" s="273"/>
      <c r="M21" s="274"/>
      <c r="N21" s="274"/>
      <c r="O21" s="274"/>
      <c r="P21" s="274"/>
      <c r="Q21" s="274"/>
      <c r="R21" s="274"/>
      <c r="S21" s="274"/>
      <c r="T21" s="274"/>
      <c r="U21" s="28"/>
      <c r="V21" s="28"/>
      <c r="W21" s="28"/>
      <c r="X21" s="28"/>
      <c r="Y21" s="28"/>
      <c r="Z21" s="28"/>
      <c r="AA21" s="28"/>
    </row>
    <row r="22" spans="1:27" x14ac:dyDescent="0.2">
      <c r="A22" s="268"/>
      <c r="B22" s="269"/>
      <c r="C22" s="270"/>
      <c r="D22" s="271"/>
      <c r="E22" s="71"/>
      <c r="F22" s="71"/>
      <c r="G22" s="71"/>
      <c r="H22" s="71"/>
      <c r="I22" s="270"/>
      <c r="J22" s="272"/>
      <c r="K22" s="273"/>
      <c r="L22" s="273"/>
      <c r="M22" s="274"/>
      <c r="N22" s="274"/>
      <c r="O22" s="274"/>
      <c r="P22" s="274"/>
      <c r="Q22" s="274"/>
      <c r="R22" s="274"/>
      <c r="S22" s="274"/>
      <c r="T22" s="274"/>
      <c r="U22" s="28"/>
      <c r="V22" s="28"/>
      <c r="W22" s="28"/>
      <c r="X22" s="28"/>
      <c r="Y22" s="28"/>
      <c r="Z22" s="28"/>
      <c r="AA22" s="28"/>
    </row>
    <row r="23" spans="1:27" x14ac:dyDescent="0.2">
      <c r="A23" s="268"/>
      <c r="B23" s="269"/>
      <c r="C23" s="270"/>
      <c r="D23" s="271"/>
      <c r="E23" s="71"/>
      <c r="F23" s="71"/>
      <c r="G23" s="71"/>
      <c r="H23" s="71"/>
      <c r="I23" s="270"/>
      <c r="J23" s="272"/>
      <c r="K23" s="273"/>
      <c r="L23" s="273"/>
      <c r="M23" s="274"/>
      <c r="N23" s="274"/>
      <c r="O23" s="274"/>
      <c r="P23" s="274"/>
      <c r="Q23" s="274"/>
      <c r="R23" s="274"/>
      <c r="S23" s="274"/>
      <c r="T23" s="274"/>
      <c r="U23" s="28"/>
      <c r="V23" s="28"/>
      <c r="W23" s="28"/>
      <c r="X23" s="28"/>
      <c r="Y23" s="28"/>
      <c r="Z23" s="28"/>
      <c r="AA23" s="28"/>
    </row>
    <row r="24" spans="1:27" x14ac:dyDescent="0.2">
      <c r="A24" s="268"/>
      <c r="B24" s="269"/>
      <c r="C24" s="270"/>
      <c r="D24" s="271"/>
      <c r="E24" s="71"/>
      <c r="F24" s="71"/>
      <c r="G24" s="71"/>
      <c r="H24" s="71"/>
      <c r="I24" s="270"/>
      <c r="J24" s="269"/>
      <c r="K24" s="269"/>
      <c r="L24" s="269"/>
      <c r="M24" s="274"/>
      <c r="N24" s="274"/>
      <c r="O24" s="274"/>
      <c r="P24" s="274"/>
      <c r="Q24" s="274"/>
      <c r="R24" s="274"/>
      <c r="S24" s="274"/>
      <c r="T24" s="274"/>
      <c r="U24" s="28"/>
      <c r="V24" s="28"/>
      <c r="W24" s="28"/>
      <c r="X24" s="28"/>
      <c r="Y24" s="28"/>
      <c r="Z24" s="28"/>
      <c r="AA24" s="28"/>
    </row>
    <row r="25" spans="1:27" x14ac:dyDescent="0.2">
      <c r="A25" s="268"/>
      <c r="B25" s="269"/>
      <c r="C25" s="270"/>
      <c r="D25" s="271"/>
      <c r="E25" s="71"/>
      <c r="F25" s="71"/>
      <c r="G25" s="71"/>
      <c r="H25" s="71"/>
      <c r="I25" s="270"/>
      <c r="J25" s="269"/>
      <c r="K25" s="269"/>
      <c r="L25" s="269"/>
      <c r="M25" s="274"/>
      <c r="N25" s="274"/>
      <c r="O25" s="274"/>
      <c r="P25" s="274"/>
      <c r="Q25" s="274"/>
      <c r="R25" s="274"/>
      <c r="S25" s="274"/>
      <c r="T25" s="274"/>
      <c r="U25" s="28"/>
      <c r="V25" s="28"/>
      <c r="W25" s="28"/>
      <c r="X25" s="28"/>
      <c r="Y25" s="28"/>
      <c r="Z25" s="28"/>
      <c r="AA25" s="28"/>
    </row>
    <row r="26" spans="1:27" x14ac:dyDescent="0.2">
      <c r="A26" s="268"/>
      <c r="B26" s="269"/>
      <c r="C26" s="270"/>
      <c r="D26" s="271"/>
      <c r="E26" s="71"/>
      <c r="F26" s="71"/>
      <c r="G26" s="71"/>
      <c r="H26" s="71"/>
      <c r="I26" s="270"/>
      <c r="J26" s="269"/>
      <c r="K26" s="269"/>
      <c r="L26" s="269"/>
      <c r="M26" s="274"/>
      <c r="N26" s="274"/>
      <c r="O26" s="274"/>
      <c r="P26" s="274"/>
      <c r="Q26" s="274"/>
      <c r="R26" s="274"/>
      <c r="S26" s="274"/>
      <c r="T26" s="274"/>
      <c r="U26" s="28"/>
      <c r="V26" s="28"/>
      <c r="W26" s="28"/>
      <c r="X26" s="28"/>
      <c r="Y26" s="28"/>
      <c r="Z26" s="28"/>
      <c r="AA26" s="28"/>
    </row>
    <row r="27" spans="1:27" x14ac:dyDescent="0.2">
      <c r="A27" s="268"/>
      <c r="B27" s="269"/>
      <c r="C27" s="270"/>
      <c r="D27" s="271"/>
      <c r="E27" s="71"/>
      <c r="F27" s="71"/>
      <c r="G27" s="71"/>
      <c r="H27" s="71"/>
      <c r="I27" s="270"/>
      <c r="J27" s="269"/>
      <c r="K27" s="269"/>
      <c r="L27" s="269"/>
      <c r="M27" s="274"/>
      <c r="N27" s="274"/>
      <c r="O27" s="274"/>
      <c r="P27" s="274"/>
      <c r="Q27" s="274"/>
      <c r="R27" s="274"/>
      <c r="S27" s="274"/>
      <c r="T27" s="274"/>
      <c r="U27" s="28"/>
      <c r="V27" s="28"/>
      <c r="W27" s="28"/>
      <c r="X27" s="28"/>
      <c r="Y27" s="28"/>
      <c r="Z27" s="28"/>
      <c r="AA27" s="28"/>
    </row>
    <row r="28" spans="1:27" x14ac:dyDescent="0.2">
      <c r="A28" s="268"/>
      <c r="B28" s="269"/>
      <c r="C28" s="270"/>
      <c r="D28" s="271"/>
      <c r="E28" s="71"/>
      <c r="F28" s="71"/>
      <c r="G28" s="71"/>
      <c r="H28" s="71"/>
      <c r="I28" s="270"/>
      <c r="J28" s="269"/>
      <c r="K28" s="269"/>
      <c r="L28" s="269"/>
      <c r="M28" s="274"/>
      <c r="N28" s="274"/>
      <c r="O28" s="274"/>
      <c r="P28" s="274"/>
      <c r="Q28" s="274"/>
      <c r="R28" s="274"/>
      <c r="S28" s="274"/>
      <c r="T28" s="274"/>
      <c r="U28" s="28"/>
      <c r="V28" s="28"/>
      <c r="W28" s="28"/>
      <c r="X28" s="28"/>
      <c r="Y28" s="28"/>
      <c r="Z28" s="28"/>
      <c r="AA28" s="28"/>
    </row>
    <row r="29" spans="1:27" x14ac:dyDescent="0.2">
      <c r="A29" s="268"/>
      <c r="B29" s="269"/>
      <c r="C29" s="270"/>
      <c r="D29" s="271"/>
      <c r="E29" s="71"/>
      <c r="F29" s="71"/>
      <c r="G29" s="71"/>
      <c r="H29" s="71"/>
      <c r="I29" s="270"/>
      <c r="J29" s="269"/>
      <c r="K29" s="269"/>
      <c r="L29" s="269"/>
      <c r="M29" s="274"/>
      <c r="N29" s="274"/>
      <c r="O29" s="274"/>
      <c r="P29" s="274"/>
      <c r="Q29" s="274"/>
      <c r="R29" s="274"/>
      <c r="S29" s="274"/>
      <c r="T29" s="274"/>
      <c r="U29" s="28"/>
      <c r="V29" s="28"/>
      <c r="W29" s="28"/>
      <c r="X29" s="28"/>
      <c r="Y29" s="28"/>
      <c r="Z29" s="28"/>
      <c r="AA29" s="28"/>
    </row>
    <row r="30" spans="1:27" x14ac:dyDescent="0.2">
      <c r="A30" s="268"/>
      <c r="B30" s="269"/>
      <c r="C30" s="270"/>
      <c r="D30" s="271"/>
      <c r="E30" s="71"/>
      <c r="F30" s="71"/>
      <c r="G30" s="71"/>
      <c r="H30" s="71"/>
      <c r="I30" s="270"/>
      <c r="J30" s="269"/>
      <c r="K30" s="269"/>
      <c r="L30" s="269"/>
      <c r="M30" s="274"/>
      <c r="N30" s="274"/>
      <c r="O30" s="274"/>
      <c r="P30" s="274"/>
      <c r="Q30" s="274"/>
      <c r="R30" s="274"/>
      <c r="S30" s="274"/>
      <c r="T30" s="274"/>
      <c r="U30" s="28"/>
      <c r="V30" s="28"/>
      <c r="W30" s="28"/>
      <c r="X30" s="28"/>
      <c r="Y30" s="28"/>
      <c r="Z30" s="28"/>
      <c r="AA30" s="28"/>
    </row>
    <row r="31" spans="1:27" x14ac:dyDescent="0.2">
      <c r="A31" s="268"/>
      <c r="B31" s="269"/>
      <c r="C31" s="270"/>
      <c r="D31" s="271"/>
      <c r="E31" s="71"/>
      <c r="F31" s="71"/>
      <c r="G31" s="71"/>
      <c r="H31" s="71"/>
      <c r="I31" s="270"/>
      <c r="J31" s="269"/>
      <c r="K31" s="269"/>
      <c r="L31" s="269"/>
      <c r="M31" s="274"/>
      <c r="N31" s="274"/>
      <c r="O31" s="274"/>
      <c r="P31" s="274"/>
      <c r="Q31" s="274"/>
      <c r="R31" s="274"/>
      <c r="S31" s="274"/>
      <c r="T31" s="274"/>
      <c r="U31" s="28"/>
      <c r="V31" s="28"/>
      <c r="W31" s="28"/>
      <c r="X31" s="28"/>
      <c r="Y31" s="28"/>
      <c r="Z31" s="28"/>
      <c r="AA31" s="28"/>
    </row>
    <row r="32" spans="1:27" x14ac:dyDescent="0.2">
      <c r="A32" s="274"/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8"/>
      <c r="V32" s="28"/>
      <c r="W32" s="28"/>
      <c r="X32" s="28"/>
      <c r="Y32" s="28"/>
      <c r="Z32" s="28"/>
      <c r="AA32" s="28"/>
    </row>
    <row r="33" spans="1:27" x14ac:dyDescent="0.2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8"/>
      <c r="V33" s="28"/>
      <c r="W33" s="28"/>
      <c r="X33" s="28"/>
      <c r="Y33" s="28"/>
      <c r="Z33" s="28"/>
      <c r="AA33" s="28"/>
    </row>
    <row r="34" spans="1:27" x14ac:dyDescent="0.2">
      <c r="A34" s="274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8"/>
      <c r="V34" s="28"/>
      <c r="W34" s="28"/>
      <c r="X34" s="28"/>
      <c r="Y34" s="28"/>
      <c r="Z34" s="28"/>
      <c r="AA34" s="28"/>
    </row>
    <row r="35" spans="1:27" x14ac:dyDescent="0.2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8"/>
      <c r="V35" s="28"/>
      <c r="W35" s="28"/>
      <c r="X35" s="28"/>
      <c r="Y35" s="28"/>
      <c r="Z35" s="28"/>
      <c r="AA35" s="28"/>
    </row>
    <row r="36" spans="1:27" x14ac:dyDescent="0.2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8"/>
      <c r="V36" s="28"/>
      <c r="W36" s="28"/>
      <c r="X36" s="28"/>
      <c r="Y36" s="28"/>
      <c r="Z36" s="28"/>
      <c r="AA36" s="28"/>
    </row>
    <row r="37" spans="1:27" x14ac:dyDescent="0.2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8"/>
      <c r="V37" s="28"/>
      <c r="W37" s="28"/>
      <c r="X37" s="28"/>
      <c r="Y37" s="28"/>
      <c r="Z37" s="28"/>
      <c r="AA37" s="28"/>
    </row>
    <row r="38" spans="1:27" x14ac:dyDescent="0.2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8"/>
      <c r="V38" s="28"/>
      <c r="W38" s="28"/>
      <c r="X38" s="28"/>
      <c r="Y38" s="28"/>
      <c r="Z38" s="28"/>
      <c r="AA38" s="28"/>
    </row>
    <row r="39" spans="1:27" x14ac:dyDescent="0.2">
      <c r="A39" s="274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8"/>
      <c r="V39" s="28"/>
      <c r="W39" s="28"/>
      <c r="X39" s="28"/>
      <c r="Y39" s="28"/>
      <c r="Z39" s="28"/>
      <c r="AA39" s="28"/>
    </row>
    <row r="40" spans="1:27" x14ac:dyDescent="0.2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8"/>
      <c r="V40" s="28"/>
      <c r="W40" s="28"/>
      <c r="X40" s="28"/>
      <c r="Y40" s="28"/>
      <c r="Z40" s="28"/>
      <c r="AA40" s="28"/>
    </row>
    <row r="41" spans="1:27" x14ac:dyDescent="0.2">
      <c r="A41" s="274"/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8"/>
      <c r="V41" s="28"/>
      <c r="W41" s="28"/>
      <c r="X41" s="28"/>
      <c r="Y41" s="28"/>
      <c r="Z41" s="28"/>
      <c r="AA41" s="28"/>
    </row>
    <row r="42" spans="1:27" x14ac:dyDescent="0.2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8"/>
      <c r="V42" s="28"/>
      <c r="W42" s="28"/>
      <c r="X42" s="28"/>
      <c r="Y42" s="28"/>
      <c r="Z42" s="28"/>
      <c r="AA42" s="28"/>
    </row>
    <row r="43" spans="1:2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1:27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1:27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1:27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1:27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1:27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</sheetData>
  <conditionalFormatting sqref="I3:I31">
    <cfRule type="containsText" dxfId="34" priority="1" operator="containsText" text="At Risk">
      <formula>NOT(ISERROR(SEARCH("At Risk",I3)))</formula>
    </cfRule>
    <cfRule type="containsText" dxfId="33" priority="2" operator="containsText" text="Submitted">
      <formula>NOT(ISERROR(SEARCH("Submitted",I3)))</formula>
    </cfRule>
    <cfRule type="containsText" dxfId="32" priority="3" operator="containsText" text="Behind Schedule">
      <formula>NOT(ISERROR(SEARCH("Behind Schedule",I3)))</formula>
    </cfRule>
    <cfRule type="containsText" dxfId="31" priority="4" operator="containsText" text="On Track">
      <formula>NOT(ISERROR(SEARCH("On Track",I3)))</formula>
    </cfRule>
    <cfRule type="containsText" dxfId="30" priority="5" operator="containsText" text="Not Started">
      <formula>NOT(ISERROR(SEARCH("Not Started",I3)))</formula>
    </cfRule>
  </conditionalFormatting>
  <dataValidations count="3">
    <dataValidation type="list" showErrorMessage="1" sqref="I3:I31">
      <formula1>"Not Started,On Track,At Risk,Behind Schedule,Submitted"</formula1>
    </dataValidation>
    <dataValidation type="list" sqref="A4:A31">
      <formula1>"Inception,Elaboration,Construction,Verification,Transition"</formula1>
    </dataValidation>
    <dataValidation type="list" sqref="C3:C31">
      <formula1>"Technical,Functional,Data,Organization,Management"</formula1>
    </dataValidation>
  </dataValidations>
  <hyperlinks>
    <hyperlink ref="I2" r:id="rId1" display="https://docs.google.com/document/d/1LVhTXTr02o81jeJLM3ACIaCS2d3mfZgI4Gi30twXk0k/edit"/>
    <hyperlink ref="L2" r:id="rId2" location="gid=0" display="https://docs.google.com/spreadsheets/d/1Dzc38SsChflUlMuoyMx-PJ9eBdZzrp8QuYT2FyPqgmk/edit - gid=0"/>
    <hyperlink ref="N2" r:id="rId3" location="gid=0" display="https://docs.google.com/spreadsheets/d/1IqfPYkwpCG2Hl-DB3Epz2dkyLUz88WBPxUGMvqc1pgo/edit - gid=0"/>
    <hyperlink ref="P2" r:id="rId4" location="gid=0" display="https://docs.google.com/spreadsheets/d/1kwzuuAq9oIgwb--OPJ233eMRvT22ROWGxEgqkf9AwwE/edit - gid=0"/>
    <hyperlink ref="R2" r:id="rId5" location="gid=0" display="https://docs.google.com/spreadsheets/d/1WFuMCOkp6aLDNwCY6z9fBtBaxLUuuXsMmMrTDn1SbXM/edit - gid=0"/>
  </hyperlinks>
  <pageMargins left="0.7" right="0.7" top="0.75" bottom="0.75" header="0.3" footer="0.3"/>
  <pageSetup orientation="portrait" horizontalDpi="0" verticalDpi="0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A918"/>
  <sheetViews>
    <sheetView zoomScale="75" zoomScaleNormal="75" workbookViewId="0">
      <pane ySplit="1" topLeftCell="A2" activePane="bottomLeft" state="frozen"/>
      <selection activeCell="H24" sqref="H24"/>
      <selection pane="bottomLeft" activeCell="E5" sqref="E5"/>
    </sheetView>
  </sheetViews>
  <sheetFormatPr defaultColWidth="14.42578125" defaultRowHeight="12.75" x14ac:dyDescent="0.2"/>
  <cols>
    <col min="1" max="1" width="11.42578125" style="2" customWidth="1"/>
    <col min="2" max="2" width="7.85546875" style="2" bestFit="1" customWidth="1"/>
    <col min="3" max="3" width="11.85546875" style="2" customWidth="1"/>
    <col min="4" max="4" width="16.42578125" style="2" customWidth="1"/>
    <col min="5" max="5" width="14.42578125" style="2" bestFit="1" customWidth="1"/>
    <col min="6" max="6" width="50" style="2" customWidth="1"/>
    <col min="7" max="7" width="19.140625" style="2" customWidth="1"/>
    <col min="8" max="8" width="24.85546875" style="2" customWidth="1"/>
    <col min="9" max="9" width="10.7109375" style="2" customWidth="1"/>
    <col min="10" max="10" width="11.5703125" style="2" customWidth="1"/>
    <col min="11" max="11" width="11.7109375" style="2" customWidth="1"/>
    <col min="12" max="12" width="12.140625" style="2" customWidth="1"/>
    <col min="13" max="16384" width="14.42578125" style="2"/>
  </cols>
  <sheetData>
    <row r="1" spans="1:27" ht="38.25" x14ac:dyDescent="0.2">
      <c r="A1" s="46" t="s">
        <v>42</v>
      </c>
      <c r="B1" s="46" t="s">
        <v>43</v>
      </c>
      <c r="C1" s="46" t="s">
        <v>385</v>
      </c>
      <c r="D1" s="46" t="s">
        <v>402</v>
      </c>
      <c r="E1" s="46" t="s">
        <v>343</v>
      </c>
      <c r="F1" s="46" t="s">
        <v>44</v>
      </c>
      <c r="G1" s="46" t="s">
        <v>45</v>
      </c>
      <c r="H1" s="46" t="s">
        <v>46</v>
      </c>
      <c r="I1" s="46" t="s">
        <v>47</v>
      </c>
      <c r="J1" s="46" t="s">
        <v>48</v>
      </c>
      <c r="K1" s="46" t="s">
        <v>404</v>
      </c>
      <c r="L1" s="46" t="s">
        <v>403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51" x14ac:dyDescent="0.2">
      <c r="A2" s="42" t="s">
        <v>49</v>
      </c>
      <c r="B2" s="43" t="s">
        <v>50</v>
      </c>
      <c r="C2" s="39" t="s">
        <v>51</v>
      </c>
      <c r="D2" s="44"/>
      <c r="E2" s="7" t="s">
        <v>52</v>
      </c>
      <c r="F2" s="7" t="s">
        <v>53</v>
      </c>
      <c r="G2" s="7"/>
      <c r="H2" s="7"/>
      <c r="I2" s="39"/>
      <c r="J2" s="45">
        <v>1</v>
      </c>
      <c r="K2" s="40">
        <v>41640</v>
      </c>
      <c r="L2" s="40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38.25" x14ac:dyDescent="0.2">
      <c r="A3" s="42" t="s">
        <v>54</v>
      </c>
      <c r="B3" s="43" t="s">
        <v>55</v>
      </c>
      <c r="C3" s="39" t="s">
        <v>56</v>
      </c>
      <c r="D3" s="44"/>
      <c r="E3" s="7" t="s">
        <v>57</v>
      </c>
      <c r="F3" s="7" t="s">
        <v>58</v>
      </c>
      <c r="G3" s="7"/>
      <c r="H3" s="7"/>
      <c r="I3" s="39"/>
      <c r="J3" s="45"/>
      <c r="K3" s="40"/>
      <c r="L3" s="40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ht="51" x14ac:dyDescent="0.2">
      <c r="A4" s="42" t="s">
        <v>59</v>
      </c>
      <c r="B4" s="43" t="s">
        <v>60</v>
      </c>
      <c r="C4" s="39" t="s">
        <v>61</v>
      </c>
      <c r="D4" s="44"/>
      <c r="E4" s="7" t="s">
        <v>62</v>
      </c>
      <c r="F4" s="7" t="s">
        <v>63</v>
      </c>
      <c r="G4" s="7"/>
      <c r="H4" s="7"/>
      <c r="I4" s="39"/>
      <c r="J4" s="45"/>
      <c r="K4" s="40"/>
      <c r="L4" s="40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7" ht="38.25" x14ac:dyDescent="0.2">
      <c r="A5" s="42" t="s">
        <v>64</v>
      </c>
      <c r="B5" s="43" t="s">
        <v>65</v>
      </c>
      <c r="C5" s="39" t="s">
        <v>66</v>
      </c>
      <c r="D5" s="44"/>
      <c r="E5" s="7" t="s">
        <v>67</v>
      </c>
      <c r="F5" s="7" t="s">
        <v>68</v>
      </c>
      <c r="G5" s="7"/>
      <c r="H5" s="7"/>
      <c r="I5" s="39"/>
      <c r="J5" s="45"/>
      <c r="K5" s="40"/>
      <c r="L5" s="40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27" ht="38.25" x14ac:dyDescent="0.2">
      <c r="A6" s="42" t="s">
        <v>69</v>
      </c>
      <c r="B6" s="43" t="s">
        <v>70</v>
      </c>
      <c r="C6" s="39" t="s">
        <v>71</v>
      </c>
      <c r="D6" s="44"/>
      <c r="E6" s="7" t="s">
        <v>72</v>
      </c>
      <c r="F6" s="7" t="s">
        <v>73</v>
      </c>
      <c r="G6" s="7"/>
      <c r="H6" s="7"/>
      <c r="I6" s="39"/>
      <c r="J6" s="45"/>
      <c r="K6" s="40"/>
      <c r="L6" s="40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ht="25.5" x14ac:dyDescent="0.2">
      <c r="A7" s="42" t="s">
        <v>74</v>
      </c>
      <c r="B7" s="43" t="s">
        <v>75</v>
      </c>
      <c r="C7" s="39" t="s">
        <v>76</v>
      </c>
      <c r="D7" s="44"/>
      <c r="E7" s="7" t="s">
        <v>77</v>
      </c>
      <c r="F7" s="7" t="s">
        <v>78</v>
      </c>
      <c r="G7" s="7"/>
      <c r="H7" s="7"/>
      <c r="I7" s="39"/>
      <c r="J7" s="45"/>
      <c r="K7" s="40"/>
      <c r="L7" s="40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ht="38.25" x14ac:dyDescent="0.2">
      <c r="A8" s="42" t="s">
        <v>79</v>
      </c>
      <c r="B8" s="43" t="s">
        <v>80</v>
      </c>
      <c r="C8" s="39" t="s">
        <v>81</v>
      </c>
      <c r="D8" s="44"/>
      <c r="E8" s="7" t="s">
        <v>82</v>
      </c>
      <c r="F8" s="7" t="s">
        <v>83</v>
      </c>
      <c r="G8" s="7"/>
      <c r="H8" s="7"/>
      <c r="I8" s="39"/>
      <c r="J8" s="45"/>
      <c r="K8" s="40"/>
      <c r="L8" s="40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27" ht="38.25" x14ac:dyDescent="0.2">
      <c r="A9" s="42" t="s">
        <v>84</v>
      </c>
      <c r="B9" s="43" t="s">
        <v>85</v>
      </c>
      <c r="C9" s="39" t="s">
        <v>86</v>
      </c>
      <c r="D9" s="44"/>
      <c r="E9" s="7" t="s">
        <v>87</v>
      </c>
      <c r="F9" s="7" t="s">
        <v>88</v>
      </c>
      <c r="G9" s="7"/>
      <c r="H9" s="7"/>
      <c r="I9" s="39"/>
      <c r="J9" s="45"/>
      <c r="K9" s="40"/>
      <c r="L9" s="40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27" ht="76.5" x14ac:dyDescent="0.2">
      <c r="A10" s="42" t="s">
        <v>89</v>
      </c>
      <c r="B10" s="43" t="s">
        <v>90</v>
      </c>
      <c r="C10" s="39" t="s">
        <v>91</v>
      </c>
      <c r="D10" s="44"/>
      <c r="E10" s="7" t="s">
        <v>92</v>
      </c>
      <c r="F10" s="7" t="s">
        <v>93</v>
      </c>
      <c r="G10" s="7"/>
      <c r="H10" s="7"/>
      <c r="I10" s="39"/>
      <c r="J10" s="45"/>
      <c r="K10" s="40"/>
      <c r="L10" s="40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27" ht="63.75" x14ac:dyDescent="0.2">
      <c r="A11" s="42" t="s">
        <v>94</v>
      </c>
      <c r="B11" s="43" t="s">
        <v>95</v>
      </c>
      <c r="C11" s="39" t="s">
        <v>96</v>
      </c>
      <c r="D11" s="44"/>
      <c r="E11" s="7" t="s">
        <v>97</v>
      </c>
      <c r="F11" s="7" t="s">
        <v>98</v>
      </c>
      <c r="G11" s="7"/>
      <c r="H11" s="7"/>
      <c r="I11" s="39"/>
      <c r="J11" s="45"/>
      <c r="K11" s="40"/>
      <c r="L11" s="40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 ht="51" x14ac:dyDescent="0.2">
      <c r="A12" s="42" t="s">
        <v>99</v>
      </c>
      <c r="B12" s="43" t="s">
        <v>100</v>
      </c>
      <c r="C12" s="39" t="s">
        <v>101</v>
      </c>
      <c r="D12" s="44"/>
      <c r="E12" s="7" t="s">
        <v>102</v>
      </c>
      <c r="F12" s="7" t="s">
        <v>103</v>
      </c>
      <c r="G12" s="7"/>
      <c r="H12" s="7"/>
      <c r="I12" s="39"/>
      <c r="J12" s="45"/>
      <c r="K12" s="40"/>
      <c r="L12" s="40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51" x14ac:dyDescent="0.2">
      <c r="A13" s="42" t="s">
        <v>104</v>
      </c>
      <c r="B13" s="43" t="s">
        <v>105</v>
      </c>
      <c r="C13" s="39" t="s">
        <v>106</v>
      </c>
      <c r="D13" s="44"/>
      <c r="E13" s="7" t="s">
        <v>107</v>
      </c>
      <c r="F13" s="7" t="s">
        <v>108</v>
      </c>
      <c r="G13" s="7"/>
      <c r="H13" s="7"/>
      <c r="I13" s="39"/>
      <c r="J13" s="45"/>
      <c r="K13" s="40"/>
      <c r="L13" s="40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ht="51" x14ac:dyDescent="0.2">
      <c r="A14" s="42" t="s">
        <v>109</v>
      </c>
      <c r="B14" s="43" t="s">
        <v>110</v>
      </c>
      <c r="C14" s="39" t="s">
        <v>111</v>
      </c>
      <c r="D14" s="44"/>
      <c r="E14" s="7" t="s">
        <v>112</v>
      </c>
      <c r="F14" s="7" t="s">
        <v>113</v>
      </c>
      <c r="G14" s="7"/>
      <c r="H14" s="7"/>
      <c r="I14" s="39"/>
      <c r="J14" s="45"/>
      <c r="K14" s="40"/>
      <c r="L14" s="40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ht="63.75" x14ac:dyDescent="0.2">
      <c r="A15" s="42" t="s">
        <v>114</v>
      </c>
      <c r="B15" s="43" t="s">
        <v>115</v>
      </c>
      <c r="C15" s="39" t="s">
        <v>116</v>
      </c>
      <c r="D15" s="44"/>
      <c r="E15" s="7" t="s">
        <v>117</v>
      </c>
      <c r="F15" s="7" t="s">
        <v>118</v>
      </c>
      <c r="G15" s="7"/>
      <c r="H15" s="7"/>
      <c r="I15" s="39"/>
      <c r="J15" s="45"/>
      <c r="K15" s="40"/>
      <c r="L15" s="40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ht="25.5" x14ac:dyDescent="0.2">
      <c r="A16" s="42" t="s">
        <v>119</v>
      </c>
      <c r="B16" s="43" t="s">
        <v>120</v>
      </c>
      <c r="C16" s="39" t="s">
        <v>121</v>
      </c>
      <c r="D16" s="44"/>
      <c r="E16" s="7" t="s">
        <v>122</v>
      </c>
      <c r="F16" s="7" t="s">
        <v>123</v>
      </c>
      <c r="G16" s="7"/>
      <c r="H16" s="7"/>
      <c r="I16" s="39"/>
      <c r="J16" s="45"/>
      <c r="K16" s="40"/>
      <c r="L16" s="40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63.75" x14ac:dyDescent="0.2">
      <c r="A17" s="42" t="s">
        <v>124</v>
      </c>
      <c r="B17" s="43" t="s">
        <v>125</v>
      </c>
      <c r="C17" s="39" t="s">
        <v>126</v>
      </c>
      <c r="D17" s="44"/>
      <c r="E17" s="7" t="s">
        <v>127</v>
      </c>
      <c r="F17" s="7" t="s">
        <v>128</v>
      </c>
      <c r="G17" s="7"/>
      <c r="H17" s="7"/>
      <c r="I17" s="39"/>
      <c r="J17" s="45"/>
      <c r="K17" s="40"/>
      <c r="L17" s="40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ht="25.5" x14ac:dyDescent="0.2">
      <c r="A18" s="42" t="s">
        <v>129</v>
      </c>
      <c r="B18" s="43" t="s">
        <v>130</v>
      </c>
      <c r="C18" s="39" t="s">
        <v>131</v>
      </c>
      <c r="D18" s="44"/>
      <c r="E18" s="7" t="s">
        <v>132</v>
      </c>
      <c r="F18" s="7" t="s">
        <v>133</v>
      </c>
      <c r="G18" s="7"/>
      <c r="H18" s="7"/>
      <c r="I18" s="39"/>
      <c r="J18" s="45"/>
      <c r="K18" s="40"/>
      <c r="L18" s="40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63.75" x14ac:dyDescent="0.2">
      <c r="A19" s="42" t="s">
        <v>134</v>
      </c>
      <c r="B19" s="43" t="s">
        <v>135</v>
      </c>
      <c r="C19" s="39" t="s">
        <v>136</v>
      </c>
      <c r="D19" s="44"/>
      <c r="E19" s="7" t="s">
        <v>137</v>
      </c>
      <c r="F19" s="7" t="s">
        <v>138</v>
      </c>
      <c r="G19" s="7"/>
      <c r="H19" s="7"/>
      <c r="I19" s="39"/>
      <c r="J19" s="45"/>
      <c r="K19" s="40"/>
      <c r="L19" s="40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51" x14ac:dyDescent="0.2">
      <c r="A20" s="42" t="s">
        <v>139</v>
      </c>
      <c r="B20" s="43" t="s">
        <v>140</v>
      </c>
      <c r="C20" s="39" t="s">
        <v>141</v>
      </c>
      <c r="D20" s="44"/>
      <c r="E20" s="7" t="s">
        <v>142</v>
      </c>
      <c r="F20" s="7" t="s">
        <v>143</v>
      </c>
      <c r="G20" s="7"/>
      <c r="H20" s="7"/>
      <c r="I20" s="39"/>
      <c r="J20" s="45"/>
      <c r="K20" s="40"/>
      <c r="L20" s="40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38.25" x14ac:dyDescent="0.2">
      <c r="A21" s="42" t="s">
        <v>144</v>
      </c>
      <c r="B21" s="43" t="s">
        <v>145</v>
      </c>
      <c r="C21" s="39" t="s">
        <v>146</v>
      </c>
      <c r="D21" s="44"/>
      <c r="E21" s="7" t="s">
        <v>147</v>
      </c>
      <c r="F21" s="7" t="s">
        <v>148</v>
      </c>
      <c r="G21" s="7"/>
      <c r="H21" s="7"/>
      <c r="I21" s="39"/>
      <c r="J21" s="45"/>
      <c r="K21" s="40"/>
      <c r="L21" s="40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63.75" x14ac:dyDescent="0.2">
      <c r="A22" s="42" t="s">
        <v>149</v>
      </c>
      <c r="B22" s="43" t="s">
        <v>150</v>
      </c>
      <c r="C22" s="39" t="s">
        <v>151</v>
      </c>
      <c r="D22" s="44"/>
      <c r="E22" s="7" t="s">
        <v>152</v>
      </c>
      <c r="F22" s="7" t="s">
        <v>153</v>
      </c>
      <c r="G22" s="7"/>
      <c r="H22" s="7"/>
      <c r="I22" s="39"/>
      <c r="J22" s="45"/>
      <c r="K22" s="40"/>
      <c r="L22" s="40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38.25" x14ac:dyDescent="0.2">
      <c r="A23" s="42" t="s">
        <v>154</v>
      </c>
      <c r="B23" s="43" t="s">
        <v>155</v>
      </c>
      <c r="C23" s="39" t="s">
        <v>156</v>
      </c>
      <c r="D23" s="44"/>
      <c r="E23" s="7" t="s">
        <v>157</v>
      </c>
      <c r="F23" s="7" t="s">
        <v>158</v>
      </c>
      <c r="G23" s="7"/>
      <c r="H23" s="7"/>
      <c r="I23" s="39"/>
      <c r="J23" s="45"/>
      <c r="K23" s="40"/>
      <c r="L23" s="40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38.25" x14ac:dyDescent="0.2">
      <c r="A24" s="42" t="s">
        <v>159</v>
      </c>
      <c r="B24" s="43" t="s">
        <v>160</v>
      </c>
      <c r="C24" s="39" t="s">
        <v>161</v>
      </c>
      <c r="D24" s="44"/>
      <c r="E24" s="7" t="s">
        <v>162</v>
      </c>
      <c r="F24" s="7" t="s">
        <v>163</v>
      </c>
      <c r="G24" s="7"/>
      <c r="H24" s="7"/>
      <c r="I24" s="39"/>
      <c r="J24" s="43"/>
      <c r="K24" s="43"/>
      <c r="L24" s="43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38.25" x14ac:dyDescent="0.2">
      <c r="A25" s="42" t="s">
        <v>164</v>
      </c>
      <c r="B25" s="43" t="s">
        <v>165</v>
      </c>
      <c r="C25" s="39" t="s">
        <v>166</v>
      </c>
      <c r="D25" s="44"/>
      <c r="E25" s="7" t="s">
        <v>167</v>
      </c>
      <c r="F25" s="7" t="s">
        <v>168</v>
      </c>
      <c r="G25" s="7"/>
      <c r="H25" s="7"/>
      <c r="I25" s="39"/>
      <c r="J25" s="43"/>
      <c r="K25" s="43"/>
      <c r="L25" s="43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38.25" x14ac:dyDescent="0.2">
      <c r="A26" s="42" t="s">
        <v>169</v>
      </c>
      <c r="B26" s="43" t="s">
        <v>170</v>
      </c>
      <c r="C26" s="39" t="s">
        <v>171</v>
      </c>
      <c r="D26" s="44"/>
      <c r="E26" s="7" t="s">
        <v>172</v>
      </c>
      <c r="F26" s="7" t="s">
        <v>173</v>
      </c>
      <c r="G26" s="7"/>
      <c r="H26" s="7"/>
      <c r="I26" s="39"/>
      <c r="J26" s="43"/>
      <c r="K26" s="43"/>
      <c r="L26" s="43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51" x14ac:dyDescent="0.2">
      <c r="A27" s="42" t="s">
        <v>174</v>
      </c>
      <c r="B27" s="43" t="s">
        <v>175</v>
      </c>
      <c r="C27" s="39" t="s">
        <v>176</v>
      </c>
      <c r="D27" s="44"/>
      <c r="E27" s="7" t="s">
        <v>177</v>
      </c>
      <c r="F27" s="7" t="s">
        <v>178</v>
      </c>
      <c r="G27" s="7"/>
      <c r="H27" s="7"/>
      <c r="I27" s="39"/>
      <c r="J27" s="43"/>
      <c r="K27" s="43"/>
      <c r="L27" s="43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51" x14ac:dyDescent="0.2">
      <c r="A28" s="42" t="s">
        <v>179</v>
      </c>
      <c r="B28" s="43" t="s">
        <v>180</v>
      </c>
      <c r="C28" s="39" t="s">
        <v>181</v>
      </c>
      <c r="D28" s="44"/>
      <c r="E28" s="7" t="s">
        <v>182</v>
      </c>
      <c r="F28" s="7" t="s">
        <v>183</v>
      </c>
      <c r="G28" s="7"/>
      <c r="H28" s="7"/>
      <c r="I28" s="39"/>
      <c r="J28" s="43"/>
      <c r="K28" s="43"/>
      <c r="L28" s="43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25.5" x14ac:dyDescent="0.2">
      <c r="A29" s="42" t="s">
        <v>184</v>
      </c>
      <c r="B29" s="43" t="s">
        <v>185</v>
      </c>
      <c r="C29" s="39" t="s">
        <v>186</v>
      </c>
      <c r="D29" s="44"/>
      <c r="E29" s="7" t="s">
        <v>187</v>
      </c>
      <c r="F29" s="7" t="s">
        <v>188</v>
      </c>
      <c r="G29" s="7"/>
      <c r="H29" s="7"/>
      <c r="I29" s="39"/>
      <c r="J29" s="43"/>
      <c r="K29" s="43"/>
      <c r="L29" s="43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38.25" x14ac:dyDescent="0.2">
      <c r="A30" s="42" t="s">
        <v>189</v>
      </c>
      <c r="B30" s="43" t="s">
        <v>190</v>
      </c>
      <c r="C30" s="39" t="s">
        <v>191</v>
      </c>
      <c r="D30" s="44"/>
      <c r="E30" s="7" t="s">
        <v>192</v>
      </c>
      <c r="F30" s="7" t="s">
        <v>193</v>
      </c>
      <c r="G30" s="7"/>
      <c r="H30" s="7"/>
      <c r="I30" s="39"/>
      <c r="J30" s="43"/>
      <c r="K30" s="43"/>
      <c r="L30" s="43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38.25" x14ac:dyDescent="0.2">
      <c r="A31" s="42" t="s">
        <v>194</v>
      </c>
      <c r="B31" s="43" t="s">
        <v>195</v>
      </c>
      <c r="C31" s="39" t="s">
        <v>196</v>
      </c>
      <c r="D31" s="44"/>
      <c r="E31" s="7" t="s">
        <v>197</v>
      </c>
      <c r="F31" s="7" t="s">
        <v>198</v>
      </c>
      <c r="G31" s="7"/>
      <c r="H31" s="7"/>
      <c r="I31" s="39"/>
      <c r="J31" s="43"/>
      <c r="K31" s="43"/>
      <c r="L31" s="43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spans="1:27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spans="1:27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spans="1:27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spans="1:27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spans="1:27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spans="1:27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spans="1:27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spans="1:27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spans="1:27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spans="1:27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spans="1:27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spans="1:27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spans="1:27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spans="1:27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spans="1:27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spans="1:27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spans="1:27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spans="1:27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spans="1:27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spans="1:27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spans="1:27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spans="1:27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spans="1:27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spans="1:27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spans="1:27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spans="1:27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spans="1:27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spans="1:27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spans="1:27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spans="1:27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spans="1:27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spans="1:27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spans="1:27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spans="1:27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spans="1:27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spans="1:27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spans="1:27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spans="1:27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spans="1:27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spans="1:27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spans="1:27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spans="1:27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spans="1:27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spans="1:27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spans="1:27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spans="1:27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spans="1:27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spans="1:27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spans="1:27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spans="1:27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spans="1:27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spans="1:27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spans="1:27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spans="1:27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spans="1:27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spans="1:27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spans="1:27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spans="1:27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spans="1:27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spans="1:27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spans="1:27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spans="1:27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spans="1:27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spans="1:27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spans="1:27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spans="1:27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spans="1:27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spans="1:27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spans="1:27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spans="1:27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spans="1:27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spans="1:27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spans="1:27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spans="1:27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spans="1:27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spans="1:27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spans="1:27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spans="1:27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spans="1:27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spans="1:27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spans="1:27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spans="1:27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spans="1:27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spans="1:27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spans="1:27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spans="1:27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spans="1:27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spans="1:27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spans="1:27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spans="1:27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spans="1:27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spans="1:27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spans="1:27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spans="1:27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spans="1:27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spans="1:27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 spans="1:27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 spans="1:27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 spans="1:27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 spans="1:27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 spans="1:27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 spans="1:27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 spans="1:27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 spans="1:27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 spans="1:27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 spans="1:27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 spans="1:27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 spans="1:27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 spans="1:27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 spans="1:27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 spans="1:27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 spans="1:27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 spans="1:27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 spans="1:27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 spans="1:27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 spans="1:27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 spans="1:27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 spans="1:27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 spans="1:27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 spans="1:27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 spans="1:27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 spans="1:27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 spans="1:27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 spans="1:27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 spans="1:27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 spans="1:27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 spans="1:27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 spans="1:27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 spans="1:27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 spans="1:27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 spans="1:27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 spans="1:27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 spans="1:27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 spans="1:27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 spans="1:27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 spans="1:27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 spans="1:27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 spans="1:27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 spans="1:27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 spans="1:27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 spans="1:27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 spans="1:27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 spans="1:27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 spans="1:27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 spans="1:27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 spans="1:27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 spans="1:27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 spans="1:27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 spans="1:27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 spans="1:27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 spans="1:27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 spans="1:27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 spans="1:27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 spans="1:27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 spans="1:27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 spans="1:27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 spans="1:27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 spans="1:27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 spans="1:27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 spans="1:27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 spans="1:27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 spans="1:27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 spans="1:27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 spans="1:27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 spans="1:27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 spans="1:27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 spans="1:27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 spans="1:27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 spans="1:27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 spans="1:27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 spans="1:27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 spans="1:27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 spans="1:27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 spans="1:27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 spans="1:27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 spans="1:27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 spans="1:27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 spans="1:27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 spans="1:27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 spans="1:27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 spans="1:27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 spans="1:27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 spans="1:27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 spans="1:27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 spans="1:27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 spans="1:27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 spans="1:27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 spans="1:27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 spans="1:27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 spans="1:27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 spans="1:27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 spans="1:27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 spans="1:27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 spans="1:27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 spans="1:27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 spans="1:27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 spans="1:27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 spans="1:27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 spans="1:27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 spans="1:27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 spans="1:27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 spans="1:27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 spans="1:27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 spans="1:27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 spans="1:27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 spans="1:27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 spans="1:27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 spans="1:27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 spans="1:27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 spans="1:27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 spans="1:27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 spans="1:27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 spans="1:27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 spans="1:27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 spans="1:27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 spans="1:27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 spans="1:27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 spans="1:27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 spans="1:27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 spans="1:27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 spans="1:27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 spans="1:27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 spans="1:27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 spans="1:27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 spans="1:27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 spans="1:27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 spans="1:27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 spans="1:27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 spans="1:27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 spans="1:27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 spans="1:27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 spans="1:27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 spans="1:27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 spans="1:27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 spans="1:27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 spans="1:27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 spans="1:27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 spans="1:27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 spans="1:27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 spans="1:27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 spans="1:27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 spans="1:27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 spans="1:27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 spans="1:27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 spans="1:27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 spans="1:27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 spans="1:27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 spans="1:27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 spans="1:27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 spans="1:27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 spans="1:27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 spans="1:27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 spans="1:27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 spans="1:27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 spans="1:27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 spans="1:27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 spans="1:27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 spans="1:27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 spans="1:27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 spans="1:27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 spans="1:27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 spans="1:27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 spans="1:27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 spans="1:27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 spans="1:27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 spans="1:27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 spans="1:27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 spans="1:27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 spans="1:27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 spans="1:27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 spans="1:27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 spans="1:27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 spans="1:27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 spans="1:27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 spans="1:27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 spans="1:27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 spans="1:27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 spans="1:27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 spans="1:27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 spans="1:27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 spans="1:27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 spans="1:27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 spans="1:27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 spans="1:27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 spans="1:27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 spans="1:27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 spans="1:27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 spans="1:27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 spans="1:27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 spans="1:27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 spans="1:27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 spans="1:27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 spans="1:27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 spans="1:27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 spans="1:27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 spans="1:27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 spans="1:27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 spans="1:27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 spans="1:27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 spans="1:27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 spans="1:27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 spans="1:27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 spans="1:27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 spans="1:27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 spans="1:27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 spans="1:27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 spans="1:27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 spans="1:27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 spans="1:27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 spans="1:27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 spans="1:27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 spans="1:27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 spans="1:27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 spans="1:27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 spans="1:27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 spans="1:27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 spans="1:27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 spans="1:27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 spans="1:27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 spans="1:27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 spans="1:27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 spans="1:27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 spans="1:27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 spans="1:27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 spans="1:27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 spans="1:27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 spans="1:27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 spans="1:27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 spans="1:27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 spans="1:27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 spans="1:27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 spans="1:27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 spans="1:27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 spans="1:27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 spans="1:27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 spans="1:27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 spans="1:27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 spans="1:27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 spans="1:27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 spans="1:27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 spans="1:27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 spans="1:27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 spans="1:27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 spans="1:27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 spans="1:27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 spans="1:27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 spans="1:27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 spans="1:27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 spans="1:27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 spans="1:27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 spans="1:27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 spans="1:27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 spans="1:27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 spans="1:27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 spans="1:27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 spans="1:27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 spans="1:27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 spans="1:27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 spans="1:27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 spans="1:27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 spans="1:27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 spans="1:27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 spans="1:27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 spans="1:27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 spans="1:27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 spans="1:27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 spans="1:27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 spans="1:27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 spans="1:27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 spans="1:27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 spans="1:27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 spans="1:27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 spans="1:27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 spans="1:27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 spans="1:27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 spans="1:27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 spans="1:27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 spans="1:27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 spans="1:27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 spans="1:27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 spans="1:27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 spans="1:27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 spans="1:27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 spans="1:27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 spans="1:27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 spans="1:27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 spans="1:27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 spans="1:27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 spans="1:27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 spans="1:27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 spans="1:27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 spans="1:27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 spans="1:27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 spans="1:27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 spans="1:27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 spans="1:27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 spans="1:27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 spans="1:27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 spans="1:27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 spans="1:27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 spans="1:27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 spans="1:27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 spans="1:27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 spans="1:27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 spans="1:27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 spans="1:27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 spans="1:27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 spans="1:27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 spans="1:27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 spans="1:27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 spans="1:27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 spans="1:27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 spans="1:27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 spans="1:27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 spans="1:27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 spans="1:27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 spans="1:27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 spans="1:27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 spans="1:27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 spans="1:27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 spans="1:27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 spans="1:27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 spans="1:27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 spans="1:27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 spans="1:27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 spans="1:27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 spans="1:27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 spans="1:27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 spans="1:27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 spans="1:27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 spans="1:27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 spans="1:27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 spans="1:27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 spans="1:27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 spans="1:27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 spans="1:27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 spans="1:27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 spans="1:27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 spans="1:27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 spans="1:27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 spans="1:27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 spans="1:27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 spans="1:27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 spans="1:27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 spans="1:27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 spans="1:27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 spans="1:27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 spans="1:27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 spans="1:27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 spans="1:27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 spans="1:27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 spans="1:27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 spans="1:27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 spans="1:27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 spans="1:27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 spans="1:27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 spans="1:27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 spans="1:27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 spans="1:27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 spans="1:27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 spans="1:27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 spans="1:27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 spans="1:27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 spans="1:27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 spans="1:27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 spans="1:27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 spans="1:27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 spans="1:27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 spans="1:27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 spans="1:27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 spans="1:27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 spans="1:27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 spans="1:27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 spans="1:27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 spans="1:27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 spans="1:27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 spans="1:27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 spans="1:27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 spans="1:27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 spans="1:27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 spans="1:27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 spans="1:27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 spans="1:27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 spans="1:27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 spans="1:27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 spans="1:27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 spans="1:27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 spans="1:27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 spans="1:27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 spans="1:27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 spans="1:27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 spans="1:27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 spans="1:27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 spans="1:27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 spans="1:27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 spans="1:27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 spans="1:27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 spans="1:27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 spans="1:27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 spans="1:27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 spans="1:27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 spans="1:27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 spans="1:27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 spans="1:27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 spans="1:27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 spans="1:27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 spans="1:27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 spans="1:27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 spans="1:27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 spans="1:27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 spans="1:27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 spans="1:27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 spans="1:27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 spans="1:27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 spans="1:27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 spans="1:27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 spans="1:27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 spans="1:27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 spans="1:27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 spans="1:27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 spans="1:27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 spans="1:27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 spans="1:27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 spans="1:27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 spans="1:27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 spans="1:27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 spans="1:27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 spans="1:27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 spans="1:27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 spans="1:27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 spans="1:27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 spans="1:27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 spans="1:27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 spans="1:27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 spans="1:27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 spans="1:27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 spans="1:27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 spans="1:27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 spans="1:27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 spans="1:27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 spans="1:27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 spans="1:27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 spans="1:27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 spans="1:27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 spans="1:27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 spans="1:27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 spans="1:27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 spans="1:27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 spans="1:27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 spans="1:27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 spans="1:27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 spans="1:27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 spans="1:27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 spans="1:27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 spans="1:27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 spans="1:27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 spans="1:27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 spans="1:27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 spans="1:27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 spans="1:27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 spans="1:27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 spans="1:27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 spans="1:27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 spans="1:27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 spans="1:27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 spans="1:27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 spans="1:27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 spans="1:27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 spans="1:27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 spans="1:27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 spans="1:27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 spans="1:27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 spans="1:27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 spans="1:27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 spans="1:27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 spans="1:27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 spans="1:27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 spans="1:27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 spans="1:27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 spans="1:27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 spans="1:27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 spans="1:27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 spans="1:27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 spans="1:27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 spans="1:27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 spans="1:27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 spans="1:27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 spans="1:27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 spans="1:27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 spans="1:27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 spans="1:27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 spans="1:27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 spans="1:27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 spans="1:27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 spans="1:27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 spans="1:27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 spans="1:27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 spans="1:27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 spans="1:27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 spans="1:27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 spans="1:27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 spans="1:27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 spans="1:27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 spans="1:27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 spans="1:27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 spans="1:27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 spans="1:27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 spans="1:27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 spans="1:27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 spans="1:27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 spans="1:27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 spans="1:27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 spans="1:27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 spans="1:27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 spans="1:27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 spans="1:27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 spans="1:27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 spans="1:27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 spans="1:27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 spans="1:27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 spans="1:27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 spans="1:27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 spans="1:27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 spans="1:27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 spans="1:27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 spans="1:27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 spans="1:27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 spans="1:27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 spans="1:27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 spans="1:27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 spans="1:27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 spans="1:27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 spans="1:27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 spans="1:27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 spans="1:27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 spans="1:27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 spans="1:27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 spans="1:27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 spans="1:27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 spans="1:27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 spans="1:27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 spans="1:27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 spans="1:27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 spans="1:27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 spans="1:27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 spans="1:27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 spans="1:27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 spans="1:27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 spans="1:27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 spans="1:27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 spans="1:27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 spans="1:27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 spans="1:27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 spans="1:27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 spans="1:27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 spans="1:27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 spans="1:27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 spans="1:27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 spans="1:27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 spans="1:27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 spans="1:27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 spans="1:27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 spans="1:27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 spans="1:27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 spans="1:27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 spans="1:27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 spans="1:27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 spans="1:27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 spans="1:27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 spans="1:27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 spans="1:27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 spans="1:27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 spans="1:27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 spans="1:27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 spans="1:27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 spans="1:27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 spans="1:27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 spans="1:27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 spans="1:27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 spans="1:27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 spans="1:27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 spans="1:27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 spans="1:27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</sheetData>
  <conditionalFormatting sqref="I2:I31">
    <cfRule type="containsText" dxfId="29" priority="1" operator="containsText" text="At Risk">
      <formula>NOT(ISERROR(SEARCH("At Risk",I2)))</formula>
    </cfRule>
    <cfRule type="containsText" dxfId="28" priority="2" operator="containsText" text="Submitted">
      <formula>NOT(ISERROR(SEARCH("Submitted",I2)))</formula>
    </cfRule>
    <cfRule type="containsText" dxfId="27" priority="3" operator="containsText" text="Behind Schedule">
      <formula>NOT(ISERROR(SEARCH("Behind Schedule",I2)))</formula>
    </cfRule>
    <cfRule type="containsText" dxfId="26" priority="4" operator="containsText" text="On Track">
      <formula>NOT(ISERROR(SEARCH("On Track",I2)))</formula>
    </cfRule>
    <cfRule type="containsText" dxfId="25" priority="5" operator="containsText" text="Not Started">
      <formula>NOT(ISERROR(SEARCH("Not Started",I2)))</formula>
    </cfRule>
  </conditionalFormatting>
  <dataValidations count="3">
    <dataValidation type="list" sqref="C2:C31">
      <formula1>"Technical,Functional,Data,Organization,Management"</formula1>
    </dataValidation>
    <dataValidation type="list" sqref="A4:A31">
      <formula1>"Inception,Elaboration,Construction,Verification,Transition"</formula1>
    </dataValidation>
    <dataValidation type="list" showErrorMessage="1" sqref="I2:I31">
      <formula1>"Not Started,On Track,At Risk,Behind Schedule,Submitted"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918"/>
  <sheetViews>
    <sheetView zoomScale="75" zoomScaleNormal="75" workbookViewId="0">
      <pane xSplit="2" ySplit="1" topLeftCell="C2" activePane="bottomRight" state="frozen"/>
      <selection activeCell="H24" sqref="H24"/>
      <selection pane="topRight" activeCell="H24" sqref="H24"/>
      <selection pane="bottomLeft" activeCell="H24" sqref="H24"/>
      <selection pane="bottomRight" activeCell="J2" sqref="J2:K2"/>
    </sheetView>
  </sheetViews>
  <sheetFormatPr defaultColWidth="14.42578125" defaultRowHeight="12.75" x14ac:dyDescent="0.2"/>
  <cols>
    <col min="1" max="1" width="11.42578125" style="2" customWidth="1"/>
    <col min="2" max="2" width="16.42578125" style="2" customWidth="1"/>
    <col min="3" max="3" width="22.7109375" style="2" customWidth="1"/>
    <col min="4" max="4" width="11.140625" style="2" bestFit="1" customWidth="1"/>
    <col min="5" max="5" width="10.7109375" style="2" customWidth="1"/>
    <col min="6" max="6" width="11" style="2" customWidth="1"/>
    <col min="7" max="7" width="9.42578125" style="2" customWidth="1"/>
    <col min="8" max="9" width="14.42578125" style="2" customWidth="1"/>
    <col min="10" max="16384" width="14.42578125" style="2"/>
  </cols>
  <sheetData>
    <row r="1" spans="1:26" ht="25.5" x14ac:dyDescent="0.2">
      <c r="A1" s="46" t="s">
        <v>391</v>
      </c>
      <c r="B1" s="46" t="s">
        <v>394</v>
      </c>
      <c r="C1" s="46" t="s">
        <v>396</v>
      </c>
      <c r="D1" s="46" t="s">
        <v>392</v>
      </c>
      <c r="E1" s="46" t="s">
        <v>21</v>
      </c>
      <c r="F1" s="46" t="s">
        <v>399</v>
      </c>
      <c r="G1" s="46" t="s">
        <v>400</v>
      </c>
      <c r="H1" s="46" t="s">
        <v>393</v>
      </c>
      <c r="I1" s="46" t="s">
        <v>401</v>
      </c>
      <c r="J1" s="46" t="s">
        <v>397</v>
      </c>
      <c r="K1" s="46" t="s">
        <v>398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2">
      <c r="A2" s="42"/>
      <c r="B2" s="42"/>
      <c r="C2" s="42"/>
      <c r="D2" s="44"/>
      <c r="E2" s="39"/>
      <c r="F2" s="56"/>
      <c r="G2" s="56"/>
      <c r="H2" s="58"/>
      <c r="I2" s="39"/>
      <c r="J2" s="59"/>
      <c r="K2" s="60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">
      <c r="A3" s="42"/>
      <c r="B3" s="42"/>
      <c r="C3" s="42"/>
      <c r="D3" s="44"/>
      <c r="E3" s="39"/>
      <c r="F3" s="56"/>
      <c r="G3" s="56"/>
      <c r="H3" s="58"/>
      <c r="I3" s="39"/>
      <c r="J3" s="59"/>
      <c r="K3" s="60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x14ac:dyDescent="0.2">
      <c r="A4" s="42"/>
      <c r="B4" s="42"/>
      <c r="C4" s="42"/>
      <c r="D4" s="44"/>
      <c r="E4" s="39"/>
      <c r="F4" s="56"/>
      <c r="G4" s="56"/>
      <c r="H4" s="58"/>
      <c r="I4" s="39"/>
      <c r="J4" s="59"/>
      <c r="K4" s="60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x14ac:dyDescent="0.2">
      <c r="A5" s="42"/>
      <c r="B5" s="42"/>
      <c r="C5" s="42"/>
      <c r="D5" s="44"/>
      <c r="E5" s="39"/>
      <c r="F5" s="56"/>
      <c r="G5" s="56"/>
      <c r="H5" s="58"/>
      <c r="I5" s="39"/>
      <c r="J5" s="59"/>
      <c r="K5" s="60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x14ac:dyDescent="0.2">
      <c r="A6" s="42"/>
      <c r="B6" s="42"/>
      <c r="C6" s="42"/>
      <c r="D6" s="44"/>
      <c r="E6" s="39"/>
      <c r="F6" s="56"/>
      <c r="G6" s="56"/>
      <c r="H6" s="58"/>
      <c r="I6" s="39"/>
      <c r="J6" s="59"/>
      <c r="K6" s="60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x14ac:dyDescent="0.2">
      <c r="A7" s="42"/>
      <c r="B7" s="42"/>
      <c r="C7" s="42"/>
      <c r="D7" s="44"/>
      <c r="E7" s="39"/>
      <c r="F7" s="56"/>
      <c r="G7" s="56"/>
      <c r="H7" s="58"/>
      <c r="I7" s="39"/>
      <c r="J7" s="59"/>
      <c r="K7" s="60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x14ac:dyDescent="0.2">
      <c r="A8" s="42"/>
      <c r="B8" s="42"/>
      <c r="C8" s="42"/>
      <c r="D8" s="44"/>
      <c r="E8" s="39"/>
      <c r="F8" s="56"/>
      <c r="G8" s="56"/>
      <c r="H8" s="58"/>
      <c r="I8" s="39"/>
      <c r="J8" s="59"/>
      <c r="K8" s="60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x14ac:dyDescent="0.2">
      <c r="A9" s="42"/>
      <c r="B9" s="42"/>
      <c r="C9" s="42"/>
      <c r="D9" s="44"/>
      <c r="E9" s="39"/>
      <c r="F9" s="56"/>
      <c r="G9" s="56"/>
      <c r="H9" s="58"/>
      <c r="I9" s="39"/>
      <c r="J9" s="59"/>
      <c r="K9" s="60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x14ac:dyDescent="0.2">
      <c r="A10" s="42"/>
      <c r="B10" s="42"/>
      <c r="C10" s="42"/>
      <c r="D10" s="44"/>
      <c r="E10" s="39"/>
      <c r="F10" s="56"/>
      <c r="G10" s="56"/>
      <c r="H10" s="58"/>
      <c r="I10" s="39"/>
      <c r="J10" s="59"/>
      <c r="K10" s="60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x14ac:dyDescent="0.2">
      <c r="A11" s="42"/>
      <c r="B11" s="42"/>
      <c r="C11" s="42"/>
      <c r="D11" s="44"/>
      <c r="E11" s="39"/>
      <c r="F11" s="56"/>
      <c r="G11" s="56"/>
      <c r="H11" s="58"/>
      <c r="I11" s="39"/>
      <c r="J11" s="59"/>
      <c r="K11" s="60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x14ac:dyDescent="0.2">
      <c r="A12" s="42"/>
      <c r="B12" s="42"/>
      <c r="C12" s="42"/>
      <c r="D12" s="44"/>
      <c r="E12" s="39"/>
      <c r="F12" s="56"/>
      <c r="G12" s="56"/>
      <c r="H12" s="58"/>
      <c r="I12" s="39"/>
      <c r="J12" s="59"/>
      <c r="K12" s="60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x14ac:dyDescent="0.2">
      <c r="A13" s="42"/>
      <c r="B13" s="42"/>
      <c r="C13" s="42"/>
      <c r="D13" s="44"/>
      <c r="E13" s="39"/>
      <c r="F13" s="56"/>
      <c r="G13" s="56"/>
      <c r="H13" s="58"/>
      <c r="I13" s="39"/>
      <c r="J13" s="59"/>
      <c r="K13" s="60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x14ac:dyDescent="0.2">
      <c r="A14" s="42"/>
      <c r="B14" s="42"/>
      <c r="C14" s="42"/>
      <c r="D14" s="44"/>
      <c r="E14" s="39"/>
      <c r="F14" s="56"/>
      <c r="G14" s="56"/>
      <c r="H14" s="58"/>
      <c r="I14" s="39"/>
      <c r="J14" s="59"/>
      <c r="K14" s="60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x14ac:dyDescent="0.2">
      <c r="A15" s="42"/>
      <c r="B15" s="42"/>
      <c r="C15" s="42"/>
      <c r="D15" s="44"/>
      <c r="E15" s="39"/>
      <c r="F15" s="56"/>
      <c r="G15" s="56"/>
      <c r="H15" s="58"/>
      <c r="I15" s="39"/>
      <c r="J15" s="59"/>
      <c r="K15" s="60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x14ac:dyDescent="0.2">
      <c r="A16" s="42"/>
      <c r="B16" s="42"/>
      <c r="C16" s="42"/>
      <c r="D16" s="44"/>
      <c r="E16" s="39"/>
      <c r="F16" s="56"/>
      <c r="G16" s="56"/>
      <c r="H16" s="58"/>
      <c r="I16" s="39"/>
      <c r="J16" s="59"/>
      <c r="K16" s="60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x14ac:dyDescent="0.2">
      <c r="A17" s="42"/>
      <c r="B17" s="42"/>
      <c r="C17" s="42"/>
      <c r="D17" s="44"/>
      <c r="E17" s="39"/>
      <c r="F17" s="56"/>
      <c r="G17" s="56"/>
      <c r="H17" s="58"/>
      <c r="I17" s="39"/>
      <c r="J17" s="59"/>
      <c r="K17" s="60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x14ac:dyDescent="0.2">
      <c r="A18" s="42"/>
      <c r="B18" s="42"/>
      <c r="C18" s="42"/>
      <c r="D18" s="44"/>
      <c r="E18" s="39"/>
      <c r="F18" s="56"/>
      <c r="G18" s="56"/>
      <c r="H18" s="58"/>
      <c r="I18" s="39"/>
      <c r="J18" s="59"/>
      <c r="K18" s="60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x14ac:dyDescent="0.2">
      <c r="A19" s="42"/>
      <c r="B19" s="42"/>
      <c r="C19" s="42"/>
      <c r="D19" s="44"/>
      <c r="E19" s="39"/>
      <c r="F19" s="56"/>
      <c r="G19" s="56"/>
      <c r="H19" s="58"/>
      <c r="I19" s="39"/>
      <c r="J19" s="59"/>
      <c r="K19" s="60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x14ac:dyDescent="0.2">
      <c r="A20" s="42"/>
      <c r="B20" s="42"/>
      <c r="C20" s="42"/>
      <c r="D20" s="44"/>
      <c r="E20" s="39"/>
      <c r="F20" s="56"/>
      <c r="G20" s="56"/>
      <c r="H20" s="58"/>
      <c r="I20" s="39"/>
      <c r="J20" s="59"/>
      <c r="K20" s="60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x14ac:dyDescent="0.2">
      <c r="A21" s="42"/>
      <c r="B21" s="42"/>
      <c r="C21" s="42"/>
      <c r="D21" s="44"/>
      <c r="E21" s="39"/>
      <c r="F21" s="56"/>
      <c r="G21" s="56"/>
      <c r="H21" s="58"/>
      <c r="I21" s="39"/>
      <c r="J21" s="59"/>
      <c r="K21" s="60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x14ac:dyDescent="0.2">
      <c r="A22" s="42"/>
      <c r="B22" s="42"/>
      <c r="C22" s="42"/>
      <c r="D22" s="44"/>
      <c r="E22" s="39"/>
      <c r="F22" s="56"/>
      <c r="G22" s="56"/>
      <c r="H22" s="58"/>
      <c r="I22" s="39"/>
      <c r="J22" s="59"/>
      <c r="K22" s="6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x14ac:dyDescent="0.2">
      <c r="A23" s="42"/>
      <c r="B23" s="42"/>
      <c r="C23" s="42"/>
      <c r="D23" s="44"/>
      <c r="E23" s="39"/>
      <c r="F23" s="56"/>
      <c r="G23" s="56"/>
      <c r="H23" s="58"/>
      <c r="I23" s="39"/>
      <c r="J23" s="59"/>
      <c r="K23" s="60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x14ac:dyDescent="0.2">
      <c r="A24" s="42"/>
      <c r="B24" s="42"/>
      <c r="C24" s="42"/>
      <c r="D24" s="44"/>
      <c r="E24" s="39"/>
      <c r="F24" s="57"/>
      <c r="G24" s="57"/>
      <c r="H24" s="58"/>
      <c r="I24" s="39"/>
      <c r="J24" s="61"/>
      <c r="K24" s="61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x14ac:dyDescent="0.2">
      <c r="A25" s="42"/>
      <c r="B25" s="42"/>
      <c r="C25" s="42"/>
      <c r="D25" s="44"/>
      <c r="E25" s="39"/>
      <c r="F25" s="57"/>
      <c r="G25" s="57"/>
      <c r="H25" s="58"/>
      <c r="I25" s="39"/>
      <c r="J25" s="61"/>
      <c r="K25" s="61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x14ac:dyDescent="0.2">
      <c r="A26" s="42"/>
      <c r="B26" s="42"/>
      <c r="C26" s="42"/>
      <c r="D26" s="44"/>
      <c r="E26" s="39"/>
      <c r="F26" s="57"/>
      <c r="G26" s="57"/>
      <c r="H26" s="58"/>
      <c r="I26" s="39"/>
      <c r="J26" s="61"/>
      <c r="K26" s="61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x14ac:dyDescent="0.2">
      <c r="A27" s="42"/>
      <c r="B27" s="42"/>
      <c r="C27" s="42"/>
      <c r="D27" s="44"/>
      <c r="E27" s="39"/>
      <c r="F27" s="57"/>
      <c r="G27" s="57"/>
      <c r="H27" s="58"/>
      <c r="I27" s="39"/>
      <c r="J27" s="61"/>
      <c r="K27" s="61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x14ac:dyDescent="0.2">
      <c r="A28" s="42"/>
      <c r="B28" s="42"/>
      <c r="C28" s="42"/>
      <c r="D28" s="44"/>
      <c r="E28" s="39"/>
      <c r="F28" s="57"/>
      <c r="G28" s="57"/>
      <c r="H28" s="58"/>
      <c r="I28" s="39"/>
      <c r="J28" s="61"/>
      <c r="K28" s="61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x14ac:dyDescent="0.2">
      <c r="A29" s="42"/>
      <c r="B29" s="42"/>
      <c r="C29" s="42"/>
      <c r="D29" s="44"/>
      <c r="E29" s="39"/>
      <c r="F29" s="57"/>
      <c r="G29" s="57"/>
      <c r="H29" s="58"/>
      <c r="I29" s="39"/>
      <c r="J29" s="61"/>
      <c r="K29" s="61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x14ac:dyDescent="0.2">
      <c r="A30" s="42"/>
      <c r="B30" s="42"/>
      <c r="C30" s="42"/>
      <c r="D30" s="44"/>
      <c r="E30" s="39"/>
      <c r="F30" s="57"/>
      <c r="G30" s="57"/>
      <c r="H30" s="58"/>
      <c r="I30" s="39"/>
      <c r="J30" s="61"/>
      <c r="K30" s="61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x14ac:dyDescent="0.2">
      <c r="A31" s="42"/>
      <c r="B31" s="42"/>
      <c r="C31" s="42"/>
      <c r="D31" s="44"/>
      <c r="E31" s="39"/>
      <c r="F31" s="57"/>
      <c r="G31" s="57"/>
      <c r="H31" s="58"/>
      <c r="I31" s="39"/>
      <c r="J31" s="61"/>
      <c r="K31" s="61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</sheetData>
  <conditionalFormatting sqref="E2:E31">
    <cfRule type="containsText" dxfId="24" priority="6" operator="containsText" text="At Risk">
      <formula>NOT(ISERROR(SEARCH("At Risk",E2)))</formula>
    </cfRule>
    <cfRule type="containsText" dxfId="23" priority="7" operator="containsText" text="Submitted">
      <formula>NOT(ISERROR(SEARCH("Submitted",E2)))</formula>
    </cfRule>
    <cfRule type="containsText" dxfId="22" priority="8" operator="containsText" text="Behind Schedule">
      <formula>NOT(ISERROR(SEARCH("Behind Schedule",E2)))</formula>
    </cfRule>
    <cfRule type="containsText" dxfId="21" priority="9" operator="containsText" text="On Track">
      <formula>NOT(ISERROR(SEARCH("On Track",E2)))</formula>
    </cfRule>
    <cfRule type="containsText" dxfId="20" priority="11" operator="containsText" text="Not Started">
      <formula>NOT(ISERROR(SEARCH("Not Started",E2)))</formula>
    </cfRule>
  </conditionalFormatting>
  <conditionalFormatting sqref="I2:I31">
    <cfRule type="containsText" dxfId="19" priority="1" operator="containsText" text="At Risk">
      <formula>NOT(ISERROR(SEARCH("At Risk",I2)))</formula>
    </cfRule>
    <cfRule type="containsText" dxfId="18" priority="2" operator="containsText" text="Accepted">
      <formula>NOT(ISERROR(SEARCH("Accepted",I2)))</formula>
    </cfRule>
    <cfRule type="containsText" dxfId="17" priority="3" operator="containsText" text="Behind Schedule">
      <formula>NOT(ISERROR(SEARCH("Behind Schedule",I2)))</formula>
    </cfRule>
    <cfRule type="containsText" dxfId="16" priority="4" operator="containsText" text="Signed">
      <formula>NOT(ISERROR(SEARCH("Signed",I2)))</formula>
    </cfRule>
    <cfRule type="containsText" dxfId="15" priority="5" operator="containsText" text="In Review">
      <formula>NOT(ISERROR(SEARCH("In Review",I2)))</formula>
    </cfRule>
  </conditionalFormatting>
  <dataValidations count="2">
    <dataValidation type="list" showErrorMessage="1" sqref="E2:E31">
      <formula1>"Not Started,On Track,At Risk,Behind Schedule,Submitted"</formula1>
    </dataValidation>
    <dataValidation type="list" showErrorMessage="1" sqref="I2:I31">
      <formula1>"In Review,At Risk,Behind Schedule,In Rework,Accepted,Signed"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AH901"/>
  <sheetViews>
    <sheetView zoomScale="75" zoomScaleNormal="75" workbookViewId="0">
      <pane xSplit="3" ySplit="1" topLeftCell="D2" activePane="bottomRight" state="frozen"/>
      <selection activeCell="H24" sqref="H24"/>
      <selection pane="topRight" activeCell="H24" sqref="H24"/>
      <selection pane="bottomLeft" activeCell="H24" sqref="H24"/>
      <selection pane="bottomRight" activeCell="H24" sqref="H24"/>
    </sheetView>
  </sheetViews>
  <sheetFormatPr defaultColWidth="14.42578125" defaultRowHeight="12.75" x14ac:dyDescent="0.2"/>
  <cols>
    <col min="1" max="1" width="10.7109375" style="2" customWidth="1"/>
    <col min="2" max="2" width="12.7109375" style="2" customWidth="1"/>
    <col min="3" max="3" width="23.140625" style="2" customWidth="1"/>
    <col min="4" max="4" width="13.5703125" style="2" customWidth="1"/>
    <col min="5" max="5" width="8.28515625" style="2" customWidth="1"/>
    <col min="6" max="6" width="16" style="2" customWidth="1"/>
    <col min="7" max="7" width="9.140625" style="2" customWidth="1"/>
    <col min="8" max="8" width="21.28515625" style="2" customWidth="1"/>
    <col min="9" max="9" width="20.42578125" style="2" customWidth="1"/>
    <col min="10" max="12" width="11.5703125" style="2" customWidth="1"/>
    <col min="13" max="13" width="12.42578125" style="2" customWidth="1"/>
    <col min="14" max="17" width="11.5703125" style="2" customWidth="1"/>
    <col min="18" max="18" width="11.140625" style="2" bestFit="1" customWidth="1"/>
    <col min="19" max="19" width="13.28515625" style="2" customWidth="1"/>
    <col min="20" max="16384" width="14.42578125" style="2"/>
  </cols>
  <sheetData>
    <row r="1" spans="1:34" ht="51" x14ac:dyDescent="0.2">
      <c r="A1" s="46" t="s">
        <v>410</v>
      </c>
      <c r="B1" s="46" t="s">
        <v>409</v>
      </c>
      <c r="C1" s="46" t="s">
        <v>405</v>
      </c>
      <c r="D1" s="46" t="s">
        <v>413</v>
      </c>
      <c r="E1" s="46" t="s">
        <v>407</v>
      </c>
      <c r="F1" s="46" t="s">
        <v>406</v>
      </c>
      <c r="G1" s="46" t="s">
        <v>408</v>
      </c>
      <c r="H1" s="46" t="s">
        <v>417</v>
      </c>
      <c r="I1" s="46" t="s">
        <v>411</v>
      </c>
      <c r="J1" s="46" t="s">
        <v>412</v>
      </c>
      <c r="K1" s="63" t="s">
        <v>418</v>
      </c>
      <c r="L1" s="63" t="s">
        <v>421</v>
      </c>
      <c r="M1" s="63" t="s">
        <v>416</v>
      </c>
      <c r="N1" s="64" t="s">
        <v>419</v>
      </c>
      <c r="O1" s="64" t="s">
        <v>414</v>
      </c>
      <c r="P1" s="64" t="s">
        <v>422</v>
      </c>
      <c r="Q1" s="67" t="s">
        <v>420</v>
      </c>
      <c r="R1" s="67" t="s">
        <v>415</v>
      </c>
      <c r="S1" s="67" t="s">
        <v>423</v>
      </c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spans="1:34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62"/>
      <c r="L2" s="62"/>
      <c r="M2" s="62"/>
      <c r="N2" s="65"/>
      <c r="O2" s="65"/>
      <c r="P2" s="66"/>
      <c r="Q2" s="68"/>
      <c r="R2" s="69"/>
      <c r="S2" s="70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62"/>
      <c r="L3" s="62"/>
      <c r="M3" s="62"/>
      <c r="N3" s="65"/>
      <c r="O3" s="65"/>
      <c r="P3" s="66"/>
      <c r="Q3" s="68"/>
      <c r="R3" s="69"/>
      <c r="S3" s="70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</row>
    <row r="4" spans="1:34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62"/>
      <c r="L4" s="62"/>
      <c r="M4" s="62"/>
      <c r="N4" s="65"/>
      <c r="O4" s="65"/>
      <c r="P4" s="66"/>
      <c r="Q4" s="68"/>
      <c r="R4" s="69"/>
      <c r="S4" s="70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</row>
    <row r="5" spans="1:34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62"/>
      <c r="L5" s="62"/>
      <c r="M5" s="62"/>
      <c r="N5" s="65"/>
      <c r="O5" s="65"/>
      <c r="P5" s="66"/>
      <c r="Q5" s="68"/>
      <c r="R5" s="69"/>
      <c r="S5" s="70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</row>
    <row r="6" spans="1:34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62"/>
      <c r="L6" s="62"/>
      <c r="M6" s="62"/>
      <c r="N6" s="65"/>
      <c r="O6" s="65"/>
      <c r="P6" s="66"/>
      <c r="Q6" s="68"/>
      <c r="R6" s="69"/>
      <c r="S6" s="70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</row>
    <row r="7" spans="1:34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62"/>
      <c r="L7" s="62"/>
      <c r="M7" s="62"/>
      <c r="N7" s="65"/>
      <c r="O7" s="65"/>
      <c r="P7" s="66"/>
      <c r="Q7" s="68"/>
      <c r="R7" s="69"/>
      <c r="S7" s="70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</row>
    <row r="8" spans="1:34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62"/>
      <c r="L8" s="62"/>
      <c r="M8" s="62"/>
      <c r="N8" s="65"/>
      <c r="O8" s="65"/>
      <c r="P8" s="66"/>
      <c r="Q8" s="68"/>
      <c r="R8" s="69"/>
      <c r="S8" s="70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</row>
    <row r="9" spans="1:34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62"/>
      <c r="L9" s="62"/>
      <c r="M9" s="62"/>
      <c r="N9" s="65"/>
      <c r="O9" s="65"/>
      <c r="P9" s="66"/>
      <c r="Q9" s="68"/>
      <c r="R9" s="69"/>
      <c r="S9" s="70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</row>
    <row r="10" spans="1:34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62"/>
      <c r="L10" s="62"/>
      <c r="M10" s="62"/>
      <c r="N10" s="65"/>
      <c r="O10" s="65"/>
      <c r="P10" s="66"/>
      <c r="Q10" s="68"/>
      <c r="R10" s="69"/>
      <c r="S10" s="70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</row>
    <row r="11" spans="1:34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62"/>
      <c r="L11" s="62"/>
      <c r="M11" s="62"/>
      <c r="N11" s="65"/>
      <c r="O11" s="65"/>
      <c r="P11" s="66"/>
      <c r="Q11" s="68"/>
      <c r="R11" s="69"/>
      <c r="S11" s="70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</row>
    <row r="12" spans="1:34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62"/>
      <c r="L12" s="62"/>
      <c r="M12" s="62"/>
      <c r="N12" s="65"/>
      <c r="O12" s="65"/>
      <c r="P12" s="66"/>
      <c r="Q12" s="68"/>
      <c r="R12" s="69"/>
      <c r="S12" s="70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</row>
    <row r="13" spans="1:34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62"/>
      <c r="L13" s="62"/>
      <c r="M13" s="62"/>
      <c r="N13" s="65"/>
      <c r="O13" s="65"/>
      <c r="P13" s="66"/>
      <c r="Q13" s="68"/>
      <c r="R13" s="69"/>
      <c r="S13" s="70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</row>
    <row r="14" spans="1:34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62"/>
      <c r="L14" s="62"/>
      <c r="M14" s="62"/>
      <c r="N14" s="65"/>
      <c r="O14" s="65"/>
      <c r="P14" s="66"/>
      <c r="Q14" s="68"/>
      <c r="R14" s="69"/>
      <c r="S14" s="70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</row>
    <row r="15" spans="1:34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</row>
    <row r="16" spans="1:34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</row>
    <row r="17" spans="1:34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</row>
    <row r="18" spans="1:34" x14ac:dyDescent="0.2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</row>
    <row r="19" spans="1:34" x14ac:dyDescent="0.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</row>
    <row r="20" spans="1:34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</row>
    <row r="21" spans="1:34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</row>
    <row r="22" spans="1:34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</row>
    <row r="23" spans="1:34" x14ac:dyDescent="0.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</row>
    <row r="24" spans="1:34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</row>
    <row r="25" spans="1:34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</row>
    <row r="26" spans="1:34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</row>
    <row r="27" spans="1:34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</row>
    <row r="28" spans="1:34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</row>
    <row r="29" spans="1:34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 spans="1:34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 spans="1:34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</row>
    <row r="32" spans="1:34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 spans="1:34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 spans="1:34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</row>
    <row r="35" spans="1:34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</row>
    <row r="36" spans="1:34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</row>
    <row r="37" spans="1:34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</row>
    <row r="38" spans="1:34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 spans="1:34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</row>
    <row r="40" spans="1:34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 spans="1:34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1:34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1:34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1:34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  <row r="45" spans="1:34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</row>
    <row r="46" spans="1:34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</row>
    <row r="47" spans="1:34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</row>
    <row r="48" spans="1:34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</row>
    <row r="49" spans="1:34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</row>
    <row r="50" spans="1:34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</row>
    <row r="51" spans="1:34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 spans="1:34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 spans="1:34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</row>
    <row r="54" spans="1:34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 spans="1:34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 spans="1:34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 spans="1:34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</row>
    <row r="58" spans="1:34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</row>
    <row r="59" spans="1:34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</row>
    <row r="60" spans="1:34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 spans="1:34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</row>
    <row r="62" spans="1:34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</row>
    <row r="63" spans="1:34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</row>
    <row r="64" spans="1:34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</row>
    <row r="65" spans="1:34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</row>
    <row r="66" spans="1:34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</row>
    <row r="67" spans="1:34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 spans="1:34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 spans="1:34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</row>
    <row r="70" spans="1:34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 spans="1:34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</row>
    <row r="72" spans="1:34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 spans="1:34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</row>
    <row r="74" spans="1:34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 spans="1:34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</row>
    <row r="76" spans="1:34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  <row r="77" spans="1:34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</row>
    <row r="78" spans="1:34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</row>
    <row r="79" spans="1:34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</row>
    <row r="80" spans="1:34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</row>
    <row r="81" spans="1:34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</row>
    <row r="82" spans="1:34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</row>
    <row r="83" spans="1:34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</row>
    <row r="84" spans="1:34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</row>
    <row r="85" spans="1:34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</row>
    <row r="86" spans="1:34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</row>
    <row r="87" spans="1:34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</row>
    <row r="88" spans="1:34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 spans="1:34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</row>
    <row r="90" spans="1:34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</row>
    <row r="91" spans="1:34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</row>
    <row r="92" spans="1:34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</row>
    <row r="93" spans="1:34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</row>
    <row r="94" spans="1:34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</row>
    <row r="95" spans="1:34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</row>
    <row r="96" spans="1:34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 spans="1:34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</row>
    <row r="98" spans="1:34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 spans="1:34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</row>
    <row r="100" spans="1:34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</row>
    <row r="101" spans="1:34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</row>
    <row r="102" spans="1:34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</row>
    <row r="103" spans="1:34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</row>
    <row r="104" spans="1:34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  <row r="105" spans="1:34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</row>
    <row r="106" spans="1:34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</row>
    <row r="107" spans="1:34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</row>
    <row r="108" spans="1:34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</row>
    <row r="109" spans="1:34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</row>
    <row r="110" spans="1:34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</row>
    <row r="111" spans="1:34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</row>
    <row r="112" spans="1:34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</row>
    <row r="113" spans="1:34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</row>
    <row r="114" spans="1:34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</row>
    <row r="115" spans="1:34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</row>
    <row r="116" spans="1:34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</row>
    <row r="117" spans="1:34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</row>
    <row r="118" spans="1:34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</row>
    <row r="119" spans="1:34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</row>
    <row r="120" spans="1:34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</row>
    <row r="121" spans="1:34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</row>
    <row r="122" spans="1:34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</row>
    <row r="123" spans="1:34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</row>
    <row r="124" spans="1:34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</row>
    <row r="125" spans="1:34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</row>
    <row r="126" spans="1:34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</row>
    <row r="127" spans="1:34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</row>
    <row r="128" spans="1:34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</row>
    <row r="129" spans="1:34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</row>
    <row r="130" spans="1:34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</row>
    <row r="131" spans="1:34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</row>
    <row r="132" spans="1:34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</row>
    <row r="133" spans="1:34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</row>
    <row r="134" spans="1:34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 spans="1:34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</row>
    <row r="136" spans="1:34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 spans="1:34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</row>
    <row r="138" spans="1:34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</row>
    <row r="139" spans="1:34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</row>
    <row r="140" spans="1:34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</row>
    <row r="141" spans="1:34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</row>
    <row r="142" spans="1:34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</row>
    <row r="143" spans="1:34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</row>
    <row r="144" spans="1:34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 spans="1:34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</row>
    <row r="146" spans="1:34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 spans="1:34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</row>
    <row r="148" spans="1:34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</row>
    <row r="149" spans="1:34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</row>
    <row r="150" spans="1:34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</row>
    <row r="151" spans="1:34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</row>
    <row r="152" spans="1:34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 spans="1:34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</row>
    <row r="154" spans="1:34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</row>
    <row r="155" spans="1:34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</row>
    <row r="156" spans="1:34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</row>
    <row r="157" spans="1:34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</row>
    <row r="158" spans="1:34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</row>
    <row r="159" spans="1:34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</row>
    <row r="160" spans="1:34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</row>
    <row r="161" spans="1:34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</row>
    <row r="162" spans="1:34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</row>
    <row r="163" spans="1:34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</row>
    <row r="164" spans="1:34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</row>
    <row r="165" spans="1:34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</row>
    <row r="166" spans="1:34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 spans="1:34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</row>
    <row r="168" spans="1:34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 spans="1:34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</row>
    <row r="170" spans="1:34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 spans="1:34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</row>
    <row r="172" spans="1:34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 spans="1:34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</row>
    <row r="174" spans="1:34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 spans="1:34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</row>
    <row r="176" spans="1:34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 spans="1:34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</row>
    <row r="178" spans="1:34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</row>
    <row r="179" spans="1:34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</row>
    <row r="180" spans="1:34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</row>
    <row r="181" spans="1:34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</row>
    <row r="182" spans="1:34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</row>
    <row r="183" spans="1:34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</row>
    <row r="184" spans="1:34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 spans="1:34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</row>
    <row r="186" spans="1:34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</row>
    <row r="187" spans="1:34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</row>
    <row r="188" spans="1:34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</row>
    <row r="189" spans="1:34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</row>
    <row r="190" spans="1:34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</row>
    <row r="191" spans="1:34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</row>
    <row r="192" spans="1:34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 spans="1:34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</row>
    <row r="194" spans="1:34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</row>
    <row r="195" spans="1:34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</row>
    <row r="196" spans="1:34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</row>
    <row r="197" spans="1:34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</row>
    <row r="198" spans="1:34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</row>
    <row r="199" spans="1:34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</row>
    <row r="200" spans="1:34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</row>
    <row r="201" spans="1:34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</row>
    <row r="202" spans="1:34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</row>
    <row r="203" spans="1:34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</row>
    <row r="204" spans="1:34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</row>
    <row r="205" spans="1:34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</row>
    <row r="206" spans="1:34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</row>
    <row r="207" spans="1:34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</row>
    <row r="208" spans="1:34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</row>
    <row r="209" spans="1:34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</row>
    <row r="210" spans="1:34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</row>
    <row r="211" spans="1:34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</row>
    <row r="212" spans="1:34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</row>
    <row r="213" spans="1:34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</row>
    <row r="214" spans="1:34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 spans="1:34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</row>
    <row r="216" spans="1:34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 spans="1:34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</row>
    <row r="218" spans="1:34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 spans="1:34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</row>
    <row r="220" spans="1:34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 spans="1:34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</row>
    <row r="222" spans="1:34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 spans="1:34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</row>
    <row r="224" spans="1:34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 spans="1:34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</row>
    <row r="226" spans="1:34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 spans="1:34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8" spans="1:34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 spans="1:34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</row>
    <row r="230" spans="1:34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 spans="1:34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2" spans="1:34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 spans="1:34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</row>
    <row r="234" spans="1:34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 spans="1:34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</row>
    <row r="236" spans="1:34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 spans="1:34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</row>
    <row r="238" spans="1:34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 spans="1:34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 spans="1:34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 spans="1:34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 spans="1:34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 spans="1:34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 spans="1:34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 spans="1:34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 spans="1:34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 spans="1:34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 spans="1:34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 spans="1:34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 spans="1:34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 spans="1:34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 spans="1:34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 spans="1:34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</row>
    <row r="254" spans="1:34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 spans="1:34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</row>
    <row r="256" spans="1:34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 spans="1:34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</row>
    <row r="258" spans="1:34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 spans="1:34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</row>
    <row r="260" spans="1:34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 spans="1:34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</row>
    <row r="262" spans="1:34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 spans="1:34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</row>
    <row r="264" spans="1:34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 spans="1:34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</row>
    <row r="266" spans="1:34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 spans="1:34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 spans="1:34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 spans="1:34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</row>
    <row r="270" spans="1:34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 spans="1:34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</row>
    <row r="272" spans="1:34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 spans="1:34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</row>
    <row r="274" spans="1:34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 spans="1:34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 spans="1:34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 spans="1:34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 spans="1:34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 spans="1:34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 spans="1:34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 spans="1:34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 spans="1:34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 spans="1:34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</row>
    <row r="284" spans="1:34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 spans="1:34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</row>
    <row r="286" spans="1:34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 spans="1:34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</row>
    <row r="288" spans="1:34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 spans="1:34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</row>
    <row r="290" spans="1:34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 spans="1:34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</row>
    <row r="292" spans="1:34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 spans="1:34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</row>
    <row r="294" spans="1:34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 spans="1:34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</row>
    <row r="296" spans="1:34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 spans="1:34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</row>
    <row r="298" spans="1:34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 spans="1:34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</row>
    <row r="300" spans="1:34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 spans="1:34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</row>
    <row r="302" spans="1:34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 spans="1:34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</row>
    <row r="304" spans="1:34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 spans="1:34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 spans="1:34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 spans="1:34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 spans="1:34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 spans="1:34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 spans="1:34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 spans="1:34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 spans="1:34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 spans="1:34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</row>
    <row r="314" spans="1:34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 spans="1:34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</row>
    <row r="316" spans="1:34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 spans="1:34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</row>
    <row r="318" spans="1:34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 spans="1:34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</row>
    <row r="320" spans="1:34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 spans="1:34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</row>
    <row r="322" spans="1:34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 spans="1:34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</row>
    <row r="324" spans="1:34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 spans="1:34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</row>
    <row r="326" spans="1:34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 spans="1:34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</row>
    <row r="328" spans="1:34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 spans="1:34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</row>
    <row r="330" spans="1:34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 spans="1:34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</row>
    <row r="332" spans="1:34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 spans="1:34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 spans="1:34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 spans="1:34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 spans="1:34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 spans="1:34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 spans="1:34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 spans="1:34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 spans="1:34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 spans="1:34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 spans="1:34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 spans="1:34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 spans="1:34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 spans="1:34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 spans="1:34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 spans="1:34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 spans="1:34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 spans="1:34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</row>
    <row r="350" spans="1:34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 spans="1:34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 spans="1:34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 spans="1:34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 spans="1:34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 spans="1:34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</row>
    <row r="356" spans="1:34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 spans="1:34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</row>
    <row r="358" spans="1:34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 spans="1:34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</row>
    <row r="360" spans="1:34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 spans="1:34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</row>
    <row r="362" spans="1:34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 spans="1:34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</row>
    <row r="364" spans="1:34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 spans="1:34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</row>
    <row r="366" spans="1:34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 spans="1:34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</row>
    <row r="368" spans="1:34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 spans="1:34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</row>
    <row r="370" spans="1:34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 spans="1:34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 spans="1:34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 spans="1:34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</row>
    <row r="374" spans="1:34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 spans="1:34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</row>
    <row r="376" spans="1:34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 spans="1:34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</row>
    <row r="378" spans="1:34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 spans="1:34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</row>
    <row r="380" spans="1:34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 spans="1:34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</row>
    <row r="382" spans="1:34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 spans="1:34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</row>
    <row r="384" spans="1:34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 spans="1:34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</row>
    <row r="386" spans="1:34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 spans="1:34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</row>
    <row r="388" spans="1:34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 spans="1:34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</row>
    <row r="390" spans="1:34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 spans="1:34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</row>
    <row r="392" spans="1:34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 spans="1:34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</row>
    <row r="394" spans="1:34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 spans="1:34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</row>
    <row r="396" spans="1:34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 spans="1:34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</row>
    <row r="398" spans="1:34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 spans="1:34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</row>
    <row r="400" spans="1:34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 spans="1:34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</row>
    <row r="402" spans="1:34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 spans="1:34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</row>
    <row r="404" spans="1:34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 spans="1:34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 spans="1:34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 spans="1:34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 spans="1:34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 spans="1:34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 spans="1:34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 spans="1:34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</row>
    <row r="412" spans="1:34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 spans="1:34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</row>
    <row r="414" spans="1:34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 spans="1:34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</row>
    <row r="416" spans="1:34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 spans="1:34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</row>
    <row r="418" spans="1:34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 spans="1:34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</row>
    <row r="420" spans="1:34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 spans="1:34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</row>
    <row r="422" spans="1:34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 spans="1:34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</row>
    <row r="424" spans="1:34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 spans="1:34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</row>
    <row r="426" spans="1:34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 spans="1:34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</row>
    <row r="428" spans="1:34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 spans="1:34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 spans="1:34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 spans="1:34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 spans="1:34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 spans="1:34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 spans="1:34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 spans="1:34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</row>
    <row r="436" spans="1:34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 spans="1:34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</row>
    <row r="438" spans="1:34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 spans="1:34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</row>
    <row r="440" spans="1:34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 spans="1:34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</row>
    <row r="442" spans="1:34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 spans="1:34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</row>
    <row r="444" spans="1:34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 spans="1:34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</row>
    <row r="446" spans="1:34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 spans="1:34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</row>
    <row r="448" spans="1:34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 spans="1:34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</row>
    <row r="450" spans="1:34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 spans="1:34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</row>
    <row r="452" spans="1:34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 spans="1:34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</row>
    <row r="454" spans="1:34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 spans="1:34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</row>
    <row r="456" spans="1:34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 spans="1:34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</row>
    <row r="458" spans="1:34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 spans="1:34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</row>
    <row r="460" spans="1:34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 spans="1:34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</row>
    <row r="462" spans="1:34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 spans="1:34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</row>
    <row r="464" spans="1:34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 spans="1:34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</row>
    <row r="466" spans="1:34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 spans="1:34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</row>
    <row r="468" spans="1:34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 spans="1:34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</row>
    <row r="470" spans="1:34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 spans="1:34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</row>
    <row r="472" spans="1:34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 spans="1:34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</row>
    <row r="474" spans="1:34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 spans="1:34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</row>
    <row r="476" spans="1:34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 spans="1:34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</row>
    <row r="478" spans="1:34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 spans="1:34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</row>
    <row r="480" spans="1:34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 spans="1:34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</row>
    <row r="482" spans="1:34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 spans="1:34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</row>
    <row r="484" spans="1:34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 spans="1:34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</row>
    <row r="486" spans="1:34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 spans="1:34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</row>
    <row r="488" spans="1:34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 spans="1:34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</row>
    <row r="490" spans="1:34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 spans="1:34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</row>
    <row r="492" spans="1:34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 spans="1:34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</row>
    <row r="494" spans="1:34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 spans="1:34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</row>
    <row r="496" spans="1:34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 spans="1:34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</row>
    <row r="498" spans="1:34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 spans="1:34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</row>
    <row r="500" spans="1:34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 spans="1:34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 spans="1:34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 spans="1:34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</row>
    <row r="504" spans="1:34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 spans="1:34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</row>
    <row r="506" spans="1:34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 spans="1:34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</row>
    <row r="508" spans="1:34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 spans="1:34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</row>
    <row r="510" spans="1:34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 spans="1:34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</row>
    <row r="512" spans="1:34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 spans="1:34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</row>
    <row r="514" spans="1:34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 spans="1:34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</row>
    <row r="516" spans="1:34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 spans="1:34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</row>
    <row r="518" spans="1:34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 spans="1:34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</row>
    <row r="520" spans="1:34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 spans="1:34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</row>
    <row r="522" spans="1:34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 spans="1:34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</row>
    <row r="524" spans="1:34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 spans="1:34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</row>
    <row r="526" spans="1:34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 spans="1:34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</row>
    <row r="528" spans="1:34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 spans="1:34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</row>
    <row r="530" spans="1:34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 spans="1:34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</row>
    <row r="532" spans="1:34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 spans="1:34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</row>
    <row r="534" spans="1:34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 spans="1:34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</row>
    <row r="536" spans="1:34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 spans="1:34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</row>
    <row r="538" spans="1:34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 spans="1:34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</row>
    <row r="540" spans="1:34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 spans="1:34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</row>
    <row r="542" spans="1:34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 spans="1:34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</row>
    <row r="544" spans="1:34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 spans="1:34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</row>
    <row r="546" spans="1:34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 spans="1:34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</row>
    <row r="548" spans="1:34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 spans="1:34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</row>
    <row r="550" spans="1:34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 spans="1:34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</row>
    <row r="552" spans="1:34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 spans="1:34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</row>
    <row r="554" spans="1:34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 spans="1:34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</row>
    <row r="556" spans="1:34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 spans="1:34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</row>
    <row r="558" spans="1:34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 spans="1:34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</row>
    <row r="560" spans="1:34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 spans="1:34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</row>
    <row r="562" spans="1:34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 spans="1:34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</row>
    <row r="564" spans="1:34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 spans="1:34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</row>
    <row r="566" spans="1:34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 spans="1:34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</row>
    <row r="568" spans="1:34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 spans="1:34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</row>
    <row r="570" spans="1:34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 spans="1:34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</row>
    <row r="572" spans="1:34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 spans="1:34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</row>
    <row r="574" spans="1:34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 spans="1:34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</row>
    <row r="576" spans="1:34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 spans="1:34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</row>
    <row r="578" spans="1:34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 spans="1:34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</row>
    <row r="580" spans="1:34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 spans="1:34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</row>
    <row r="582" spans="1:34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 spans="1:34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</row>
    <row r="584" spans="1:34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 spans="1:34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</row>
    <row r="586" spans="1:34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 spans="1:34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</row>
    <row r="588" spans="1:34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 spans="1:34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</row>
    <row r="590" spans="1:34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 spans="1:34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</row>
    <row r="592" spans="1:34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 spans="1:34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</row>
    <row r="594" spans="1:34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 spans="1:34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</row>
    <row r="596" spans="1:34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 spans="1:34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</row>
    <row r="598" spans="1:34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 spans="1:34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</row>
    <row r="600" spans="1:34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 spans="1:34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</row>
    <row r="602" spans="1:34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 spans="1:34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</row>
    <row r="604" spans="1:34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 spans="1:34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</row>
    <row r="606" spans="1:34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 spans="1:34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</row>
    <row r="608" spans="1:34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 spans="1:34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</row>
    <row r="610" spans="1:34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 spans="1:34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</row>
    <row r="612" spans="1:34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 spans="1:34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</row>
    <row r="614" spans="1:34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 spans="1:34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</row>
    <row r="616" spans="1:34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 spans="1:34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</row>
    <row r="618" spans="1:34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 spans="1:34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</row>
    <row r="620" spans="1:34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 spans="1:34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</row>
    <row r="622" spans="1:34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 spans="1:34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</row>
    <row r="624" spans="1:34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 spans="1:34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</row>
    <row r="626" spans="1:34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 spans="1:34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</row>
    <row r="628" spans="1:34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 spans="1:34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</row>
    <row r="630" spans="1:34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 spans="1:34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</row>
    <row r="632" spans="1:34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 spans="1:34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</row>
    <row r="634" spans="1:34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 spans="1:34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</row>
    <row r="636" spans="1:34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 spans="1:34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</row>
    <row r="638" spans="1:34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 spans="1:34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</row>
    <row r="640" spans="1:34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 spans="1:34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</row>
    <row r="642" spans="1:34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 spans="1:34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</row>
    <row r="644" spans="1:34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 spans="1:34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</row>
    <row r="646" spans="1:34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 spans="1:34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</row>
    <row r="648" spans="1:34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 spans="1:34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</row>
    <row r="650" spans="1:34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 spans="1:34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</row>
    <row r="652" spans="1:34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 spans="1:34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</row>
    <row r="654" spans="1:34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 spans="1:34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</row>
    <row r="656" spans="1:34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 spans="1:34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</row>
    <row r="658" spans="1:34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 spans="1:34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</row>
    <row r="660" spans="1:34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 spans="1:34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</row>
    <row r="662" spans="1:34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 spans="1:34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</row>
    <row r="664" spans="1:34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 spans="1:34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</row>
    <row r="666" spans="1:34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 spans="1:34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</row>
    <row r="668" spans="1:34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 spans="1:34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</row>
    <row r="670" spans="1:34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 spans="1:34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</row>
    <row r="672" spans="1:34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 spans="1:34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</row>
    <row r="674" spans="1:34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 spans="1:34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</row>
    <row r="676" spans="1:34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 spans="1:34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</row>
    <row r="678" spans="1:34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 spans="1:34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</row>
    <row r="680" spans="1:34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 spans="1:34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</row>
    <row r="682" spans="1:34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 spans="1:34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</row>
    <row r="684" spans="1:34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 spans="1:34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</row>
    <row r="686" spans="1:34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 spans="1:34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</row>
    <row r="688" spans="1:34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 spans="1:34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</row>
    <row r="690" spans="1:34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 spans="1:34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</row>
    <row r="692" spans="1:34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 spans="1:34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</row>
    <row r="694" spans="1:34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 spans="1:34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</row>
    <row r="696" spans="1:34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 spans="1:34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</row>
    <row r="698" spans="1:34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 spans="1:34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</row>
    <row r="700" spans="1:34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 spans="1:34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</row>
    <row r="702" spans="1:34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 spans="1:34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</row>
    <row r="704" spans="1:34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 spans="1:34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</row>
    <row r="706" spans="1:34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 spans="1:34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</row>
    <row r="708" spans="1:34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 spans="1:34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</row>
    <row r="710" spans="1:34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 spans="1:34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</row>
    <row r="712" spans="1:34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 spans="1:34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</row>
    <row r="714" spans="1:34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 spans="1:34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</row>
    <row r="716" spans="1:34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 spans="1:34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</row>
    <row r="718" spans="1:34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 spans="1:34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</row>
    <row r="720" spans="1:34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 spans="1:34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</row>
    <row r="722" spans="1:34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 spans="1:34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</row>
    <row r="724" spans="1:34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 spans="1:34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</row>
    <row r="726" spans="1:34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 spans="1:34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</row>
    <row r="728" spans="1:34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 spans="1:34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</row>
    <row r="730" spans="1:34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 spans="1:34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</row>
    <row r="732" spans="1:34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 spans="1:34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</row>
    <row r="734" spans="1:34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 spans="1:34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</row>
    <row r="736" spans="1:34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 spans="1:34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</row>
    <row r="738" spans="1:34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 spans="1:34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</row>
    <row r="740" spans="1:34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 spans="1:34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</row>
    <row r="742" spans="1:34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 spans="1:34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</row>
    <row r="744" spans="1:34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 spans="1:34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</row>
    <row r="746" spans="1:34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 spans="1:34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</row>
    <row r="748" spans="1:34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 spans="1:34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</row>
    <row r="750" spans="1:34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 spans="1:34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</row>
    <row r="752" spans="1:34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 spans="1:34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</row>
    <row r="754" spans="1:34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 spans="1:34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</row>
    <row r="756" spans="1:34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 spans="1:34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</row>
    <row r="758" spans="1:34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 spans="1:34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</row>
    <row r="760" spans="1:34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 spans="1:34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</row>
    <row r="762" spans="1:34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 spans="1:34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</row>
    <row r="764" spans="1:34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 spans="1:34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</row>
    <row r="766" spans="1:34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 spans="1:34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</row>
    <row r="768" spans="1:34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 spans="1:34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</row>
    <row r="770" spans="1:34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 spans="1:34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</row>
    <row r="772" spans="1:34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 spans="1:34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</row>
    <row r="774" spans="1:34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 spans="1:34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</row>
    <row r="776" spans="1:34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 spans="1:34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</row>
    <row r="778" spans="1:34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 spans="1:34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</row>
    <row r="780" spans="1:34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 spans="1:34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</row>
    <row r="782" spans="1:34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 spans="1:34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</row>
    <row r="784" spans="1:34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 spans="1:34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</row>
    <row r="786" spans="1:34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 spans="1:34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</row>
    <row r="788" spans="1:34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 spans="1:34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</row>
    <row r="790" spans="1:34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 spans="1:34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</row>
    <row r="792" spans="1:34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 spans="1:34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</row>
    <row r="794" spans="1:34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 spans="1:34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</row>
    <row r="796" spans="1:34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 spans="1:34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</row>
    <row r="798" spans="1:34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 spans="1:34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</row>
    <row r="800" spans="1:34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 spans="1:34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</row>
    <row r="802" spans="1:34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 spans="1:34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</row>
    <row r="804" spans="1:34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 spans="1:34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</row>
    <row r="806" spans="1:34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 spans="1:34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</row>
    <row r="808" spans="1:34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 spans="1:34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</row>
    <row r="810" spans="1:34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 spans="1:34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</row>
    <row r="812" spans="1:34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 spans="1:34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</row>
    <row r="814" spans="1:34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 spans="1:34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</row>
    <row r="816" spans="1:34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 spans="1:34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</row>
    <row r="818" spans="1:34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 spans="1:34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</row>
    <row r="820" spans="1:34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 spans="1:34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</row>
    <row r="822" spans="1:34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 spans="1:34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</row>
    <row r="824" spans="1:34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 spans="1:34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</row>
    <row r="826" spans="1:34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 spans="1:34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</row>
    <row r="828" spans="1:34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 spans="1:34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</row>
    <row r="830" spans="1:34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 spans="1:34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</row>
    <row r="832" spans="1:34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 spans="1:34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</row>
    <row r="834" spans="1:34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 spans="1:34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</row>
    <row r="836" spans="1:34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 spans="1:34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</row>
    <row r="838" spans="1:34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 spans="1:34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</row>
    <row r="840" spans="1:34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 spans="1:34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</row>
    <row r="842" spans="1:34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 spans="1:34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</row>
    <row r="844" spans="1:34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 spans="1:34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</row>
    <row r="846" spans="1:34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 spans="1:34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</row>
    <row r="848" spans="1:34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 spans="1:34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</row>
    <row r="850" spans="1:34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 spans="1:34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</row>
    <row r="852" spans="1:34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 spans="1:34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</row>
    <row r="854" spans="1:34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 spans="1:34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</row>
    <row r="856" spans="1:34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 spans="1:34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</row>
    <row r="858" spans="1:34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 spans="1:34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</row>
    <row r="860" spans="1:34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 spans="1:34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</row>
    <row r="862" spans="1:34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 spans="1:34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</row>
    <row r="864" spans="1:34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 spans="1:34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</row>
    <row r="866" spans="1:34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 spans="1:34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</row>
    <row r="868" spans="1:34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 spans="1:34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</row>
    <row r="870" spans="1:34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 spans="1:34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</row>
    <row r="872" spans="1:34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 spans="1:34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</row>
    <row r="874" spans="1:34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 spans="1:34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</row>
    <row r="876" spans="1:34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 spans="1:34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</row>
    <row r="878" spans="1:34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 spans="1:34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</row>
    <row r="880" spans="1:34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 spans="1:34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</row>
    <row r="882" spans="1:34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 spans="1:34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</row>
    <row r="884" spans="1:34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 spans="1:34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</row>
    <row r="886" spans="1:34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 spans="1:34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</row>
    <row r="888" spans="1:34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 spans="1:34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</row>
    <row r="890" spans="1:34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 spans="1:34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</row>
    <row r="892" spans="1:34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 spans="1:34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</row>
    <row r="894" spans="1:34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 spans="1:34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</row>
    <row r="896" spans="1:34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 spans="1:34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</row>
    <row r="898" spans="1:34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 spans="1:34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</row>
    <row r="900" spans="1:34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 spans="1:34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</row>
  </sheetData>
  <conditionalFormatting sqref="P2:P14">
    <cfRule type="containsText" dxfId="14" priority="6" operator="containsText" text="At Risk">
      <formula>NOT(ISERROR(SEARCH("At Risk",P2)))</formula>
    </cfRule>
    <cfRule type="containsText" dxfId="13" priority="7" operator="containsText" text="Complete">
      <formula>NOT(ISERROR(SEARCH("Complete",P2)))</formula>
    </cfRule>
    <cfRule type="containsText" dxfId="12" priority="8" operator="containsText" text="Behind Schedule">
      <formula>NOT(ISERROR(SEARCH("Behind Schedule",P2)))</formula>
    </cfRule>
    <cfRule type="containsText" dxfId="11" priority="9" operator="containsText" text="On Track">
      <formula>NOT(ISERROR(SEARCH("On Track",P2)))</formula>
    </cfRule>
    <cfRule type="containsText" dxfId="10" priority="10" operator="containsText" text="Not Started">
      <formula>NOT(ISERROR(SEARCH("Not Started",P2)))</formula>
    </cfRule>
  </conditionalFormatting>
  <conditionalFormatting sqref="S2:S14">
    <cfRule type="containsText" dxfId="9" priority="1" operator="containsText" text="At Risk">
      <formula>NOT(ISERROR(SEARCH("At Risk",S2)))</formula>
    </cfRule>
    <cfRule type="containsText" dxfId="8" priority="2" operator="containsText" text="Complete">
      <formula>NOT(ISERROR(SEARCH("Complete",S2)))</formula>
    </cfRule>
    <cfRule type="containsText" dxfId="7" priority="3" operator="containsText" text="Behind Schedule">
      <formula>NOT(ISERROR(SEARCH("Behind Schedule",S2)))</formula>
    </cfRule>
    <cfRule type="containsText" dxfId="6" priority="4" operator="containsText" text="On Track">
      <formula>NOT(ISERROR(SEARCH("On Track",S2)))</formula>
    </cfRule>
    <cfRule type="containsText" dxfId="5" priority="5" operator="containsText" text="Not Started">
      <formula>NOT(ISERROR(SEARCH("Not Started",S2)))</formula>
    </cfRule>
  </conditionalFormatting>
  <dataValidations count="2">
    <dataValidation type="list" allowBlank="1" showInputMessage="1" showErrorMessage="1" sqref="M2">
      <formula1>"Script Mapped (covers req.),New Base Script,Custom Script"</formula1>
    </dataValidation>
    <dataValidation type="list" showErrorMessage="1" sqref="P2:P14 S2:S14">
      <formula1>"Not Started,On Track,At Risk,Behind Schedule,Complete"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27"/>
  <sheetViews>
    <sheetView zoomScaleNormal="100" workbookViewId="0">
      <selection activeCell="A15" sqref="A15"/>
    </sheetView>
  </sheetViews>
  <sheetFormatPr defaultColWidth="8.85546875" defaultRowHeight="12.75" x14ac:dyDescent="0.2"/>
  <cols>
    <col min="1" max="1" width="24.7109375" style="2" customWidth="1"/>
    <col min="2" max="2" width="11.85546875" style="2" customWidth="1"/>
    <col min="3" max="3" width="7.7109375" style="2" customWidth="1"/>
    <col min="4" max="4" width="9" style="2" bestFit="1" customWidth="1"/>
    <col min="5" max="9" width="8.85546875" style="2"/>
    <col min="10" max="10" width="9" style="2" bestFit="1" customWidth="1"/>
    <col min="11" max="16" width="8.85546875" style="2"/>
    <col min="17" max="17" width="9" style="2" bestFit="1" customWidth="1"/>
    <col min="18" max="18" width="9.5703125" style="2" bestFit="1" customWidth="1"/>
    <col min="19" max="20" width="7.42578125" style="2" customWidth="1"/>
    <col min="21" max="21" width="8.5703125" style="2" customWidth="1"/>
    <col min="22" max="25" width="7.42578125" style="2" customWidth="1"/>
    <col min="26" max="26" width="8.7109375" style="2" bestFit="1" customWidth="1"/>
    <col min="27" max="16384" width="8.85546875" style="2"/>
  </cols>
  <sheetData>
    <row r="1" spans="1:26" ht="14.45" customHeight="1" x14ac:dyDescent="0.2">
      <c r="A1" s="320" t="s">
        <v>717</v>
      </c>
      <c r="B1" s="324" t="s">
        <v>84</v>
      </c>
      <c r="C1" s="324"/>
      <c r="D1" s="324"/>
      <c r="E1" s="324"/>
      <c r="F1" s="324"/>
      <c r="G1" s="324"/>
      <c r="H1" s="324"/>
      <c r="I1" s="324"/>
      <c r="J1" s="324"/>
      <c r="K1" s="325" t="s">
        <v>124</v>
      </c>
      <c r="L1" s="325"/>
      <c r="M1" s="325"/>
      <c r="N1" s="325"/>
      <c r="O1" s="325"/>
      <c r="P1" s="325"/>
      <c r="Q1" s="325"/>
      <c r="R1" s="325"/>
      <c r="S1" s="325"/>
      <c r="T1" s="325"/>
      <c r="U1" s="324" t="s">
        <v>164</v>
      </c>
      <c r="V1" s="324"/>
      <c r="W1" s="324"/>
      <c r="X1" s="324"/>
      <c r="Y1" s="324"/>
      <c r="Z1" s="300" t="s">
        <v>179</v>
      </c>
    </row>
    <row r="2" spans="1:26" s="279" customFormat="1" ht="15" customHeight="1" x14ac:dyDescent="0.2">
      <c r="A2" s="321"/>
      <c r="B2" s="318" t="s">
        <v>755</v>
      </c>
      <c r="C2" s="318" t="s">
        <v>718</v>
      </c>
      <c r="D2" s="318" t="s">
        <v>756</v>
      </c>
      <c r="E2" s="326" t="s">
        <v>684</v>
      </c>
      <c r="F2" s="326"/>
      <c r="G2" s="326"/>
      <c r="H2" s="326"/>
      <c r="I2" s="326"/>
      <c r="J2" s="326"/>
      <c r="K2" s="326" t="s">
        <v>719</v>
      </c>
      <c r="L2" s="326"/>
      <c r="M2" s="326"/>
      <c r="N2" s="326"/>
      <c r="O2" s="326"/>
      <c r="P2" s="326"/>
      <c r="Q2" s="326"/>
      <c r="R2" s="326"/>
      <c r="S2" s="326" t="s">
        <v>758</v>
      </c>
      <c r="T2" s="326"/>
      <c r="U2" s="326" t="s">
        <v>720</v>
      </c>
      <c r="V2" s="326"/>
      <c r="W2" s="318" t="s">
        <v>721</v>
      </c>
      <c r="X2" s="318" t="s">
        <v>722</v>
      </c>
      <c r="Y2" s="318" t="s">
        <v>36</v>
      </c>
      <c r="Z2" s="318" t="s">
        <v>723</v>
      </c>
    </row>
    <row r="3" spans="1:26" s="294" customFormat="1" ht="51" x14ac:dyDescent="0.2">
      <c r="A3" s="322"/>
      <c r="B3" s="319"/>
      <c r="C3" s="319"/>
      <c r="D3" s="319"/>
      <c r="E3" s="288" t="s">
        <v>724</v>
      </c>
      <c r="F3" s="288" t="s">
        <v>725</v>
      </c>
      <c r="G3" s="288" t="s">
        <v>726</v>
      </c>
      <c r="H3" s="288" t="s">
        <v>727</v>
      </c>
      <c r="I3" s="288" t="s">
        <v>728</v>
      </c>
      <c r="J3" s="288" t="s">
        <v>757</v>
      </c>
      <c r="K3" s="288" t="s">
        <v>730</v>
      </c>
      <c r="L3" s="288" t="s">
        <v>731</v>
      </c>
      <c r="M3" s="288" t="s">
        <v>732</v>
      </c>
      <c r="N3" s="288" t="s">
        <v>733</v>
      </c>
      <c r="O3" s="288" t="s">
        <v>734</v>
      </c>
      <c r="P3" s="288" t="s">
        <v>735</v>
      </c>
      <c r="Q3" s="288" t="s">
        <v>729</v>
      </c>
      <c r="R3" s="288" t="s">
        <v>759</v>
      </c>
      <c r="S3" s="288" t="s">
        <v>736</v>
      </c>
      <c r="T3" s="288" t="s">
        <v>737</v>
      </c>
      <c r="U3" s="288" t="s">
        <v>738</v>
      </c>
      <c r="V3" s="288" t="s">
        <v>739</v>
      </c>
      <c r="W3" s="319"/>
      <c r="X3" s="319"/>
      <c r="Y3" s="319"/>
      <c r="Z3" s="319"/>
    </row>
    <row r="4" spans="1:26" s="298" customFormat="1" x14ac:dyDescent="0.2">
      <c r="A4" s="293" t="s">
        <v>740</v>
      </c>
      <c r="B4" s="289"/>
      <c r="C4" s="289"/>
      <c r="D4" s="290"/>
      <c r="E4" s="295"/>
      <c r="F4" s="295"/>
      <c r="G4" s="295"/>
      <c r="H4" s="295"/>
      <c r="I4" s="295"/>
      <c r="J4" s="291"/>
      <c r="K4" s="295"/>
      <c r="L4" s="295"/>
      <c r="M4" s="295"/>
      <c r="N4" s="295"/>
      <c r="O4" s="295"/>
      <c r="P4" s="295"/>
      <c r="Q4" s="291"/>
      <c r="R4" s="296"/>
      <c r="S4" s="287"/>
      <c r="T4" s="287"/>
      <c r="U4" s="287"/>
      <c r="V4" s="297"/>
      <c r="W4" s="293"/>
      <c r="X4" s="293"/>
      <c r="Y4" s="293"/>
      <c r="Z4" s="293"/>
    </row>
    <row r="5" spans="1:26" s="298" customFormat="1" x14ac:dyDescent="0.2">
      <c r="A5" s="293" t="s">
        <v>742</v>
      </c>
      <c r="B5" s="289"/>
      <c r="C5" s="289"/>
      <c r="D5" s="290"/>
      <c r="E5" s="295"/>
      <c r="F5" s="295"/>
      <c r="G5" s="295"/>
      <c r="H5" s="295"/>
      <c r="I5" s="295"/>
      <c r="J5" s="291"/>
      <c r="K5" s="295"/>
      <c r="L5" s="295"/>
      <c r="M5" s="295"/>
      <c r="N5" s="295"/>
      <c r="O5" s="295"/>
      <c r="P5" s="295"/>
      <c r="Q5" s="291"/>
      <c r="R5" s="296"/>
      <c r="S5" s="287"/>
      <c r="T5" s="295"/>
      <c r="U5" s="287"/>
      <c r="V5" s="287"/>
      <c r="W5" s="293"/>
      <c r="X5" s="293"/>
      <c r="Y5" s="293"/>
      <c r="Z5" s="293"/>
    </row>
    <row r="6" spans="1:26" s="298" customFormat="1" x14ac:dyDescent="0.2">
      <c r="A6" s="293" t="s">
        <v>743</v>
      </c>
      <c r="B6" s="289"/>
      <c r="C6" s="289"/>
      <c r="D6" s="290"/>
      <c r="E6" s="295"/>
      <c r="F6" s="295"/>
      <c r="G6" s="295"/>
      <c r="H6" s="295"/>
      <c r="I6" s="295"/>
      <c r="J6" s="291"/>
      <c r="K6" s="295"/>
      <c r="L6" s="295"/>
      <c r="M6" s="295"/>
      <c r="N6" s="295"/>
      <c r="O6" s="295"/>
      <c r="P6" s="295"/>
      <c r="Q6" s="291"/>
      <c r="R6" s="296"/>
      <c r="S6" s="287"/>
      <c r="T6" s="287"/>
      <c r="U6" s="287"/>
      <c r="V6" s="287"/>
      <c r="W6" s="293"/>
      <c r="X6" s="293"/>
      <c r="Y6" s="293"/>
      <c r="Z6" s="293"/>
    </row>
    <row r="7" spans="1:26" s="298" customFormat="1" x14ac:dyDescent="0.2">
      <c r="A7" s="293" t="s">
        <v>744</v>
      </c>
      <c r="B7" s="289"/>
      <c r="C7" s="289"/>
      <c r="D7" s="290"/>
      <c r="E7" s="295"/>
      <c r="F7" s="295"/>
      <c r="G7" s="295"/>
      <c r="H7" s="295"/>
      <c r="I7" s="295"/>
      <c r="J7" s="291"/>
      <c r="K7" s="295"/>
      <c r="L7" s="295"/>
      <c r="M7" s="295"/>
      <c r="N7" s="295"/>
      <c r="O7" s="295"/>
      <c r="P7" s="295"/>
      <c r="Q7" s="291"/>
      <c r="R7" s="296"/>
      <c r="S7" s="287"/>
      <c r="T7" s="287"/>
      <c r="U7" s="287"/>
      <c r="V7" s="287"/>
      <c r="W7" s="293"/>
      <c r="X7" s="293"/>
      <c r="Y7" s="293"/>
      <c r="Z7" s="293"/>
    </row>
    <row r="8" spans="1:26" s="298" customFormat="1" x14ac:dyDescent="0.2">
      <c r="A8" s="293" t="s">
        <v>745</v>
      </c>
      <c r="B8" s="289"/>
      <c r="C8" s="289"/>
      <c r="D8" s="290"/>
      <c r="E8" s="295"/>
      <c r="F8" s="295"/>
      <c r="G8" s="295"/>
      <c r="H8" s="295"/>
      <c r="I8" s="295"/>
      <c r="J8" s="291"/>
      <c r="K8" s="295"/>
      <c r="L8" s="295"/>
      <c r="M8" s="295"/>
      <c r="N8" s="295"/>
      <c r="O8" s="295"/>
      <c r="P8" s="295"/>
      <c r="Q8" s="291"/>
      <c r="R8" s="296"/>
      <c r="S8" s="287"/>
      <c r="T8" s="287"/>
      <c r="U8" s="287"/>
      <c r="V8" s="297"/>
      <c r="W8" s="293"/>
      <c r="X8" s="293"/>
      <c r="Y8" s="293"/>
      <c r="Z8" s="293"/>
    </row>
    <row r="9" spans="1:26" s="298" customFormat="1" x14ac:dyDescent="0.2">
      <c r="A9" s="293" t="s">
        <v>746</v>
      </c>
      <c r="B9" s="289"/>
      <c r="C9" s="289"/>
      <c r="D9" s="290"/>
      <c r="E9" s="295"/>
      <c r="F9" s="295"/>
      <c r="G9" s="295"/>
      <c r="H9" s="295"/>
      <c r="I9" s="295"/>
      <c r="J9" s="291"/>
      <c r="K9" s="295"/>
      <c r="L9" s="295"/>
      <c r="M9" s="295"/>
      <c r="N9" s="295"/>
      <c r="O9" s="295"/>
      <c r="P9" s="295"/>
      <c r="Q9" s="291"/>
      <c r="R9" s="296"/>
      <c r="S9" s="287"/>
      <c r="T9" s="287"/>
      <c r="U9" s="287"/>
      <c r="V9" s="287"/>
      <c r="W9" s="293"/>
      <c r="X9" s="293"/>
      <c r="Y9" s="293"/>
      <c r="Z9" s="293"/>
    </row>
    <row r="10" spans="1:26" s="298" customFormat="1" x14ac:dyDescent="0.2">
      <c r="A10" s="293" t="s">
        <v>747</v>
      </c>
      <c r="B10" s="289"/>
      <c r="C10" s="289"/>
      <c r="D10" s="290"/>
      <c r="E10" s="295"/>
      <c r="F10" s="295"/>
      <c r="G10" s="295"/>
      <c r="H10" s="295"/>
      <c r="I10" s="295"/>
      <c r="J10" s="291"/>
      <c r="K10" s="295"/>
      <c r="L10" s="295"/>
      <c r="M10" s="295"/>
      <c r="N10" s="295"/>
      <c r="O10" s="295"/>
      <c r="P10" s="295"/>
      <c r="Q10" s="291"/>
      <c r="R10" s="296"/>
      <c r="S10" s="287"/>
      <c r="T10" s="287"/>
      <c r="U10" s="287"/>
      <c r="V10" s="287"/>
      <c r="W10" s="293"/>
      <c r="X10" s="293"/>
      <c r="Y10" s="293"/>
      <c r="Z10" s="293"/>
    </row>
    <row r="11" spans="1:26" s="298" customFormat="1" x14ac:dyDescent="0.2">
      <c r="A11" s="293" t="s">
        <v>748</v>
      </c>
      <c r="B11" s="289"/>
      <c r="C11" s="289"/>
      <c r="D11" s="290"/>
      <c r="E11" s="295"/>
      <c r="F11" s="295"/>
      <c r="G11" s="295"/>
      <c r="H11" s="295"/>
      <c r="I11" s="295"/>
      <c r="J11" s="291"/>
      <c r="K11" s="295"/>
      <c r="L11" s="295"/>
      <c r="M11" s="295"/>
      <c r="N11" s="295"/>
      <c r="O11" s="295"/>
      <c r="P11" s="295"/>
      <c r="Q11" s="291"/>
      <c r="R11" s="296"/>
      <c r="S11" s="287"/>
      <c r="T11" s="287"/>
      <c r="U11" s="287"/>
      <c r="V11" s="287"/>
      <c r="W11" s="293"/>
      <c r="X11" s="293"/>
      <c r="Y11" s="293"/>
      <c r="Z11" s="293"/>
    </row>
    <row r="12" spans="1:26" s="298" customFormat="1" x14ac:dyDescent="0.2">
      <c r="A12" s="293" t="s">
        <v>749</v>
      </c>
      <c r="B12" s="289"/>
      <c r="C12" s="289"/>
      <c r="D12" s="290"/>
      <c r="E12" s="295"/>
      <c r="F12" s="295"/>
      <c r="G12" s="295"/>
      <c r="H12" s="295"/>
      <c r="I12" s="295"/>
      <c r="J12" s="291"/>
      <c r="K12" s="295"/>
      <c r="L12" s="295"/>
      <c r="M12" s="295"/>
      <c r="N12" s="295"/>
      <c r="O12" s="295"/>
      <c r="P12" s="295"/>
      <c r="Q12" s="291"/>
      <c r="R12" s="296"/>
      <c r="S12" s="287"/>
      <c r="T12" s="295"/>
      <c r="U12" s="287"/>
      <c r="V12" s="287"/>
      <c r="W12" s="293"/>
      <c r="X12" s="293"/>
      <c r="Y12" s="293"/>
      <c r="Z12" s="293"/>
    </row>
    <row r="13" spans="1:26" s="298" customFormat="1" x14ac:dyDescent="0.2">
      <c r="A13" s="293" t="s">
        <v>750</v>
      </c>
      <c r="B13" s="289"/>
      <c r="C13" s="289"/>
      <c r="D13" s="290"/>
      <c r="E13" s="295"/>
      <c r="F13" s="295"/>
      <c r="G13" s="295"/>
      <c r="H13" s="295"/>
      <c r="I13" s="295"/>
      <c r="J13" s="291"/>
      <c r="K13" s="295"/>
      <c r="L13" s="295"/>
      <c r="M13" s="295"/>
      <c r="N13" s="295"/>
      <c r="O13" s="295"/>
      <c r="P13" s="295"/>
      <c r="Q13" s="291"/>
      <c r="R13" s="296"/>
      <c r="S13" s="287"/>
      <c r="T13" s="295"/>
      <c r="U13" s="287"/>
      <c r="V13" s="287"/>
      <c r="W13" s="293"/>
      <c r="X13" s="293"/>
      <c r="Y13" s="293"/>
      <c r="Z13" s="293"/>
    </row>
    <row r="14" spans="1:26" s="298" customFormat="1" x14ac:dyDescent="0.2">
      <c r="A14" s="293" t="s">
        <v>751</v>
      </c>
      <c r="B14" s="289"/>
      <c r="C14" s="289"/>
      <c r="D14" s="290"/>
      <c r="E14" s="295"/>
      <c r="F14" s="295"/>
      <c r="G14" s="295"/>
      <c r="H14" s="295"/>
      <c r="I14" s="295"/>
      <c r="J14" s="291"/>
      <c r="K14" s="295"/>
      <c r="L14" s="295"/>
      <c r="M14" s="295"/>
      <c r="N14" s="295"/>
      <c r="O14" s="295"/>
      <c r="P14" s="295"/>
      <c r="Q14" s="291"/>
      <c r="R14" s="296"/>
      <c r="S14" s="287"/>
      <c r="T14" s="295"/>
      <c r="U14" s="287"/>
      <c r="V14" s="287"/>
      <c r="W14" s="293"/>
      <c r="X14" s="293"/>
      <c r="Y14" s="293"/>
      <c r="Z14" s="293"/>
    </row>
    <row r="15" spans="1:26" s="298" customFormat="1" x14ac:dyDescent="0.2">
      <c r="A15" s="293" t="s">
        <v>752</v>
      </c>
      <c r="B15" s="289"/>
      <c r="C15" s="289"/>
      <c r="D15" s="290"/>
      <c r="E15" s="295"/>
      <c r="F15" s="295"/>
      <c r="G15" s="295"/>
      <c r="H15" s="295"/>
      <c r="I15" s="295"/>
      <c r="J15" s="291"/>
      <c r="K15" s="295"/>
      <c r="L15" s="295"/>
      <c r="M15" s="295"/>
      <c r="N15" s="295"/>
      <c r="O15" s="295"/>
      <c r="P15" s="295"/>
      <c r="Q15" s="291"/>
      <c r="R15" s="296"/>
      <c r="S15" s="287"/>
      <c r="T15" s="295"/>
      <c r="U15" s="287"/>
      <c r="V15" s="287"/>
      <c r="W15" s="293"/>
      <c r="X15" s="293"/>
      <c r="Y15" s="293"/>
      <c r="Z15" s="293"/>
    </row>
    <row r="16" spans="1:26" s="298" customFormat="1" x14ac:dyDescent="0.2">
      <c r="A16" s="293" t="s">
        <v>753</v>
      </c>
      <c r="B16" s="289"/>
      <c r="C16" s="289"/>
      <c r="D16" s="290"/>
      <c r="E16" s="295"/>
      <c r="F16" s="295"/>
      <c r="G16" s="295"/>
      <c r="H16" s="295"/>
      <c r="I16" s="295"/>
      <c r="J16" s="291"/>
      <c r="K16" s="295"/>
      <c r="L16" s="295"/>
      <c r="M16" s="295"/>
      <c r="N16" s="295"/>
      <c r="O16" s="295"/>
      <c r="P16" s="295"/>
      <c r="Q16" s="291"/>
      <c r="R16" s="296"/>
      <c r="S16" s="287"/>
      <c r="T16" s="295"/>
      <c r="U16" s="287"/>
      <c r="V16" s="287"/>
      <c r="W16" s="293"/>
      <c r="X16" s="293"/>
      <c r="Y16" s="293"/>
      <c r="Z16" s="293"/>
    </row>
    <row r="17" spans="1:26" s="298" customFormat="1" x14ac:dyDescent="0.2">
      <c r="A17" s="299"/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  <c r="P17" s="299"/>
      <c r="Q17" s="299"/>
      <c r="R17" s="299"/>
      <c r="S17" s="299"/>
      <c r="T17" s="292"/>
      <c r="U17" s="292"/>
      <c r="V17" s="292"/>
      <c r="W17" s="299"/>
      <c r="X17" s="299"/>
      <c r="Y17" s="299"/>
      <c r="Z17" s="299"/>
    </row>
    <row r="18" spans="1:26" ht="24" customHeight="1" x14ac:dyDescent="0.2">
      <c r="A18" s="323"/>
      <c r="B18" s="323"/>
      <c r="C18" s="323"/>
      <c r="D18" s="323"/>
      <c r="E18" s="323"/>
      <c r="F18" s="323"/>
      <c r="G18" s="323"/>
      <c r="H18" s="323"/>
      <c r="I18" s="323"/>
      <c r="J18" s="323"/>
      <c r="K18" s="28"/>
      <c r="L18" s="28"/>
      <c r="M18" s="28"/>
      <c r="N18" s="28"/>
      <c r="O18" s="8"/>
      <c r="P18" s="8"/>
      <c r="Q18" s="8"/>
      <c r="R18" s="8"/>
      <c r="S18" s="8"/>
      <c r="T18" s="28"/>
      <c r="U18" s="8"/>
      <c r="V18" s="8"/>
      <c r="W18" s="8"/>
      <c r="X18" s="8"/>
      <c r="Y18" s="8"/>
      <c r="Z18" s="8"/>
    </row>
    <row r="19" spans="1:26" ht="13.5" thickBot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8"/>
      <c r="L19" s="8"/>
      <c r="M19" s="8"/>
      <c r="N19" s="8"/>
      <c r="O19" s="8"/>
      <c r="P19" s="8"/>
      <c r="Q19" s="8"/>
      <c r="R19" s="8"/>
      <c r="S19" s="8"/>
      <c r="T19" s="28"/>
      <c r="U19" s="8"/>
      <c r="V19" s="8"/>
      <c r="W19" s="8"/>
      <c r="X19" s="8"/>
      <c r="Y19" s="8"/>
      <c r="Z19" s="8"/>
    </row>
    <row r="20" spans="1:26" x14ac:dyDescent="0.2">
      <c r="B20" s="280" t="s">
        <v>575</v>
      </c>
      <c r="C20" s="285"/>
      <c r="D20" s="285"/>
      <c r="E20" s="286"/>
      <c r="F20" s="28"/>
      <c r="G20" s="28"/>
      <c r="H20" s="28"/>
      <c r="I20" s="28"/>
      <c r="J20" s="28"/>
      <c r="K20" s="8"/>
      <c r="L20" s="8"/>
      <c r="M20" s="8"/>
      <c r="N20" s="8"/>
      <c r="O20" s="8"/>
      <c r="P20" s="8"/>
      <c r="Q20" s="8"/>
      <c r="R20" s="8"/>
      <c r="S20" s="8"/>
      <c r="T20" s="28"/>
      <c r="U20" s="8"/>
      <c r="V20" s="8"/>
      <c r="W20" s="8"/>
      <c r="X20" s="8"/>
      <c r="Y20" s="8"/>
      <c r="Z20" s="8"/>
    </row>
    <row r="21" spans="1:26" ht="39" thickBot="1" x14ac:dyDescent="0.25">
      <c r="B21" s="281" t="s">
        <v>585</v>
      </c>
      <c r="C21" s="282" t="s">
        <v>741</v>
      </c>
      <c r="D21" s="283" t="s">
        <v>754</v>
      </c>
      <c r="E21" s="284" t="s">
        <v>579</v>
      </c>
      <c r="F21" s="28"/>
      <c r="G21" s="28"/>
      <c r="H21" s="28"/>
      <c r="I21" s="28"/>
      <c r="J21" s="28"/>
      <c r="K21" s="8"/>
      <c r="L21" s="8"/>
      <c r="M21" s="8"/>
      <c r="N21" s="8"/>
      <c r="O21" s="8"/>
      <c r="P21" s="8"/>
      <c r="Q21" s="8"/>
      <c r="R21" s="8"/>
      <c r="S21" s="8"/>
      <c r="T21" s="28"/>
      <c r="U21" s="8"/>
      <c r="V21" s="8"/>
      <c r="W21" s="8"/>
      <c r="X21" s="8"/>
      <c r="Y21" s="8"/>
      <c r="Z21" s="8"/>
    </row>
    <row r="22" spans="1:26" x14ac:dyDescent="0.2">
      <c r="D22" s="28"/>
      <c r="E22" s="28"/>
      <c r="F22" s="28"/>
      <c r="G22" s="28"/>
      <c r="H22" s="28"/>
      <c r="I22" s="28"/>
      <c r="J22" s="28"/>
      <c r="K22" s="8"/>
      <c r="L22" s="8"/>
      <c r="M22" s="8"/>
      <c r="N22" s="8"/>
      <c r="O22" s="8"/>
      <c r="P22" s="8"/>
      <c r="Q22" s="8"/>
      <c r="R22" s="8"/>
      <c r="S22" s="8"/>
      <c r="T22" s="28"/>
      <c r="U22" s="8"/>
      <c r="V22" s="8"/>
      <c r="W22" s="8"/>
      <c r="X22" s="8"/>
      <c r="Y22" s="8"/>
      <c r="Z22" s="8"/>
    </row>
    <row r="23" spans="1:26" x14ac:dyDescent="0.2">
      <c r="C23" s="28"/>
      <c r="D23" s="28"/>
      <c r="E23" s="28"/>
      <c r="F23" s="28"/>
      <c r="G23" s="28"/>
      <c r="H23" s="28"/>
      <c r="I23" s="28"/>
      <c r="J23" s="28"/>
      <c r="K23" s="8"/>
      <c r="L23" s="8"/>
      <c r="M23" s="8"/>
      <c r="N23" s="8"/>
      <c r="O23" s="8"/>
      <c r="P23" s="8"/>
      <c r="Q23" s="8"/>
      <c r="R23" s="8"/>
      <c r="S23" s="8"/>
      <c r="T23" s="28"/>
      <c r="U23" s="8"/>
      <c r="V23" s="8"/>
      <c r="W23" s="8"/>
      <c r="X23" s="8"/>
      <c r="Y23" s="8"/>
      <c r="Z23" s="8"/>
    </row>
    <row r="24" spans="1:26" x14ac:dyDescent="0.2">
      <c r="B24" s="28"/>
      <c r="C24" s="28"/>
      <c r="D24" s="28"/>
      <c r="E24" s="28"/>
      <c r="F24" s="28"/>
      <c r="G24" s="28"/>
      <c r="H24" s="28"/>
      <c r="I24" s="28"/>
      <c r="J24" s="28"/>
      <c r="K24" s="8"/>
      <c r="L24" s="8"/>
      <c r="M24" s="8"/>
      <c r="N24" s="8"/>
      <c r="O24" s="8"/>
      <c r="P24" s="8"/>
      <c r="Q24" s="8"/>
      <c r="R24" s="8"/>
      <c r="S24" s="8"/>
      <c r="T24" s="28"/>
      <c r="U24" s="8"/>
      <c r="V24" s="8"/>
      <c r="W24" s="8"/>
      <c r="X24" s="8"/>
      <c r="Y24" s="8"/>
      <c r="Z24" s="8"/>
    </row>
    <row r="25" spans="1:26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8"/>
      <c r="L25" s="8"/>
      <c r="M25" s="8"/>
      <c r="N25" s="8"/>
      <c r="O25" s="8"/>
      <c r="P25" s="8"/>
      <c r="Q25" s="8"/>
      <c r="R25" s="8"/>
      <c r="S25" s="8"/>
      <c r="T25" s="28"/>
      <c r="U25" s="8"/>
      <c r="V25" s="8"/>
      <c r="W25" s="8"/>
      <c r="X25" s="8"/>
      <c r="Y25" s="8"/>
      <c r="Z25" s="8"/>
    </row>
    <row r="26" spans="1:26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8"/>
      <c r="L26" s="8"/>
      <c r="M26" s="8"/>
      <c r="N26" s="8"/>
      <c r="O26" s="8"/>
      <c r="P26" s="8"/>
      <c r="Q26" s="8"/>
      <c r="R26" s="8"/>
      <c r="S26" s="8"/>
      <c r="T26" s="28"/>
      <c r="U26" s="8"/>
      <c r="V26" s="8"/>
      <c r="W26" s="8"/>
      <c r="X26" s="8"/>
      <c r="Y26" s="8"/>
      <c r="Z26" s="8"/>
    </row>
    <row r="27" spans="1:26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8"/>
      <c r="L27" s="8"/>
      <c r="M27" s="8"/>
      <c r="N27" s="8"/>
      <c r="O27" s="8"/>
      <c r="P27" s="8"/>
      <c r="Q27" s="8"/>
      <c r="R27" s="8"/>
      <c r="S27" s="8"/>
      <c r="T27" s="28"/>
      <c r="U27" s="8"/>
      <c r="V27" s="8"/>
      <c r="W27" s="8"/>
      <c r="X27" s="8"/>
      <c r="Y27" s="8"/>
      <c r="Z27" s="8"/>
    </row>
  </sheetData>
  <mergeCells count="16">
    <mergeCell ref="Y2:Y3"/>
    <mergeCell ref="Z2:Z3"/>
    <mergeCell ref="A1:A3"/>
    <mergeCell ref="A18:J18"/>
    <mergeCell ref="B2:B3"/>
    <mergeCell ref="C2:C3"/>
    <mergeCell ref="D2:D3"/>
    <mergeCell ref="B1:J1"/>
    <mergeCell ref="K1:T1"/>
    <mergeCell ref="U1:Y1"/>
    <mergeCell ref="E2:J2"/>
    <mergeCell ref="K2:R2"/>
    <mergeCell ref="S2:T2"/>
    <mergeCell ref="U2:V2"/>
    <mergeCell ref="W2:W3"/>
    <mergeCell ref="X2:X3"/>
  </mergeCells>
  <dataValidations count="2">
    <dataValidation type="list" allowBlank="1" showInputMessage="1" showErrorMessage="1" sqref="B4:B16">
      <formula1>"Not Started,In Process,Complete"</formula1>
    </dataValidation>
    <dataValidation type="list" allowBlank="1" showInputMessage="1" showErrorMessage="1" sqref="C4:C16">
      <formula1>"OOTB,Custom"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T918"/>
  <sheetViews>
    <sheetView zoomScale="75" zoomScaleNormal="75" workbookViewId="0">
      <pane xSplit="2" ySplit="1" topLeftCell="C25" activePane="bottomRight" state="frozen"/>
      <selection activeCell="H24" sqref="H24"/>
      <selection pane="topRight" activeCell="H24" sqref="H24"/>
      <selection pane="bottomLeft" activeCell="H24" sqref="H24"/>
      <selection pane="bottomRight" activeCell="H24" sqref="H24"/>
    </sheetView>
  </sheetViews>
  <sheetFormatPr defaultColWidth="14.42578125" defaultRowHeight="12.75" x14ac:dyDescent="0.2"/>
  <cols>
    <col min="1" max="1" width="22.5703125" style="2" customWidth="1"/>
    <col min="2" max="2" width="30.28515625" style="2" customWidth="1"/>
    <col min="3" max="3" width="11.140625" style="2" bestFit="1" customWidth="1"/>
    <col min="4" max="4" width="10.7109375" style="2" customWidth="1"/>
    <col min="5" max="5" width="11" style="2" customWidth="1"/>
    <col min="6" max="16384" width="14.42578125" style="2"/>
  </cols>
  <sheetData>
    <row r="1" spans="1:20" x14ac:dyDescent="0.2">
      <c r="A1" s="46" t="s">
        <v>424</v>
      </c>
      <c r="B1" s="46" t="s">
        <v>425</v>
      </c>
      <c r="C1" s="46" t="s">
        <v>19</v>
      </c>
      <c r="D1" s="46" t="s">
        <v>21</v>
      </c>
      <c r="E1" s="46" t="s">
        <v>426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x14ac:dyDescent="0.2">
      <c r="A2" s="42"/>
      <c r="B2" s="42"/>
      <c r="C2" s="44"/>
      <c r="D2" s="39"/>
      <c r="E2" s="56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">
      <c r="A3" s="42"/>
      <c r="B3" s="42"/>
      <c r="C3" s="44"/>
      <c r="D3" s="39"/>
      <c r="E3" s="56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x14ac:dyDescent="0.2">
      <c r="A4" s="42"/>
      <c r="B4" s="42"/>
      <c r="C4" s="44"/>
      <c r="D4" s="39"/>
      <c r="E4" s="56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x14ac:dyDescent="0.2">
      <c r="A5" s="42"/>
      <c r="B5" s="42"/>
      <c r="C5" s="44"/>
      <c r="D5" s="39"/>
      <c r="E5" s="56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</row>
    <row r="6" spans="1:20" x14ac:dyDescent="0.2">
      <c r="A6" s="42"/>
      <c r="B6" s="42"/>
      <c r="C6" s="44"/>
      <c r="D6" s="39"/>
      <c r="E6" s="56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</row>
    <row r="7" spans="1:20" x14ac:dyDescent="0.2">
      <c r="A7" s="42"/>
      <c r="B7" s="42"/>
      <c r="C7" s="44"/>
      <c r="D7" s="39"/>
      <c r="E7" s="56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</row>
    <row r="8" spans="1:20" x14ac:dyDescent="0.2">
      <c r="A8" s="42"/>
      <c r="B8" s="42"/>
      <c r="C8" s="44"/>
      <c r="D8" s="39"/>
      <c r="E8" s="56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</row>
    <row r="9" spans="1:20" x14ac:dyDescent="0.2">
      <c r="A9" s="42"/>
      <c r="B9" s="42"/>
      <c r="C9" s="44"/>
      <c r="D9" s="39"/>
      <c r="E9" s="56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</row>
    <row r="10" spans="1:20" x14ac:dyDescent="0.2">
      <c r="A10" s="42"/>
      <c r="B10" s="42"/>
      <c r="C10" s="44"/>
      <c r="D10" s="39"/>
      <c r="E10" s="56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spans="1:20" x14ac:dyDescent="0.2">
      <c r="A11" s="42"/>
      <c r="B11" s="42"/>
      <c r="C11" s="44"/>
      <c r="D11" s="39"/>
      <c r="E11" s="5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20" x14ac:dyDescent="0.2">
      <c r="A12" s="42"/>
      <c r="B12" s="42"/>
      <c r="C12" s="44"/>
      <c r="D12" s="39"/>
      <c r="E12" s="5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spans="1:20" x14ac:dyDescent="0.2">
      <c r="A13" s="42"/>
      <c r="B13" s="42"/>
      <c r="C13" s="44"/>
      <c r="D13" s="39"/>
      <c r="E13" s="56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1:20" x14ac:dyDescent="0.2">
      <c r="A14" s="42"/>
      <c r="B14" s="42"/>
      <c r="C14" s="44"/>
      <c r="D14" s="39"/>
      <c r="E14" s="5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spans="1:20" x14ac:dyDescent="0.2">
      <c r="A15" s="42"/>
      <c r="B15" s="42"/>
      <c r="C15" s="44"/>
      <c r="D15" s="39"/>
      <c r="E15" s="5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spans="1:20" x14ac:dyDescent="0.2">
      <c r="A16" s="42"/>
      <c r="B16" s="42"/>
      <c r="C16" s="44"/>
      <c r="D16" s="39"/>
      <c r="E16" s="5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spans="1:20" x14ac:dyDescent="0.2">
      <c r="A17" s="42"/>
      <c r="B17" s="42"/>
      <c r="C17" s="44"/>
      <c r="D17" s="39"/>
      <c r="E17" s="5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spans="1:20" x14ac:dyDescent="0.2">
      <c r="A18" s="42"/>
      <c r="B18" s="42"/>
      <c r="C18" s="44"/>
      <c r="D18" s="39"/>
      <c r="E18" s="5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spans="1:20" x14ac:dyDescent="0.2">
      <c r="A19" s="42"/>
      <c r="B19" s="42"/>
      <c r="C19" s="44"/>
      <c r="D19" s="39"/>
      <c r="E19" s="5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spans="1:20" x14ac:dyDescent="0.2">
      <c r="A20" s="42"/>
      <c r="B20" s="42"/>
      <c r="C20" s="44"/>
      <c r="D20" s="39"/>
      <c r="E20" s="5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x14ac:dyDescent="0.2">
      <c r="A21" s="42"/>
      <c r="B21" s="42"/>
      <c r="C21" s="44"/>
      <c r="D21" s="39"/>
      <c r="E21" s="5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spans="1:20" x14ac:dyDescent="0.2">
      <c r="A22" s="42"/>
      <c r="B22" s="42"/>
      <c r="C22" s="44"/>
      <c r="D22" s="39"/>
      <c r="E22" s="5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spans="1:20" x14ac:dyDescent="0.2">
      <c r="A23" s="42"/>
      <c r="B23" s="42"/>
      <c r="C23" s="44"/>
      <c r="D23" s="39"/>
      <c r="E23" s="5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spans="1:20" x14ac:dyDescent="0.2">
      <c r="A24" s="42"/>
      <c r="B24" s="42"/>
      <c r="C24" s="44"/>
      <c r="D24" s="39"/>
      <c r="E24" s="5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spans="1:20" x14ac:dyDescent="0.2">
      <c r="A25" s="42"/>
      <c r="B25" s="42"/>
      <c r="C25" s="44"/>
      <c r="D25" s="39"/>
      <c r="E25" s="5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spans="1:20" x14ac:dyDescent="0.2">
      <c r="A26" s="42"/>
      <c r="B26" s="42"/>
      <c r="C26" s="44"/>
      <c r="D26" s="39"/>
      <c r="E26" s="5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spans="1:20" x14ac:dyDescent="0.2">
      <c r="A27" s="42"/>
      <c r="B27" s="42"/>
      <c r="C27" s="44"/>
      <c r="D27" s="39"/>
      <c r="E27" s="5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spans="1:20" x14ac:dyDescent="0.2">
      <c r="A28" s="42"/>
      <c r="B28" s="42"/>
      <c r="C28" s="44"/>
      <c r="D28" s="39"/>
      <c r="E28" s="5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spans="1:20" x14ac:dyDescent="0.2">
      <c r="A29" s="42"/>
      <c r="B29" s="42"/>
      <c r="C29" s="44"/>
      <c r="D29" s="39"/>
      <c r="E29" s="5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spans="1:20" x14ac:dyDescent="0.2">
      <c r="A30" s="42"/>
      <c r="B30" s="42"/>
      <c r="C30" s="44"/>
      <c r="D30" s="39"/>
      <c r="E30" s="5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spans="1:20" x14ac:dyDescent="0.2">
      <c r="A31" s="42"/>
      <c r="B31" s="42"/>
      <c r="C31" s="44"/>
      <c r="D31" s="39"/>
      <c r="E31" s="5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spans="1:20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spans="1:20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spans="1:20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spans="1:20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spans="1:20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spans="1:20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spans="1:20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spans="1:20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spans="1:20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spans="1:20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spans="1:20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spans="1:20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spans="1:20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spans="1:20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spans="1:20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spans="1:20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spans="1:20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1:20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spans="1:20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spans="1:20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spans="1:20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spans="1:20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spans="1:20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spans="1:20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spans="1:20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spans="1:20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spans="1:20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spans="1:20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spans="1:20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spans="1:20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spans="1:20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spans="1:20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spans="1:20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spans="1:20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spans="1:20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spans="1:20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spans="1:20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</row>
    <row r="69" spans="1:20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spans="1:20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spans="1:20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spans="1:20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spans="1:20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  <row r="74" spans="1:20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</row>
    <row r="75" spans="1:20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spans="1:20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spans="1:20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spans="1:20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spans="1:20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spans="1:20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spans="1:20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</row>
    <row r="82" spans="1:20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</row>
    <row r="83" spans="1:20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</row>
    <row r="84" spans="1:20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</row>
    <row r="85" spans="1:20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</row>
    <row r="86" spans="1:20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</row>
    <row r="87" spans="1:20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</row>
    <row r="88" spans="1:20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</row>
    <row r="89" spans="1:20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</row>
    <row r="90" spans="1:20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</row>
    <row r="91" spans="1:20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spans="1:20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</row>
    <row r="93" spans="1:20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</row>
    <row r="94" spans="1:20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spans="1:20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  <row r="96" spans="1:20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</row>
    <row r="97" spans="1:20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</row>
    <row r="98" spans="1:20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</row>
    <row r="99" spans="1:20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</row>
    <row r="100" spans="1:20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</row>
    <row r="101" spans="1:20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</row>
    <row r="102" spans="1:20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</row>
    <row r="103" spans="1:20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</row>
    <row r="104" spans="1:20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</row>
    <row r="105" spans="1:20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</row>
    <row r="106" spans="1:20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</row>
    <row r="107" spans="1:20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</row>
    <row r="108" spans="1:20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</row>
    <row r="109" spans="1:20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</row>
    <row r="110" spans="1:20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</row>
    <row r="111" spans="1:20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</row>
    <row r="112" spans="1:20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</row>
    <row r="113" spans="1:20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</row>
    <row r="114" spans="1:20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</row>
    <row r="115" spans="1:20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</row>
    <row r="116" spans="1:20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</row>
    <row r="117" spans="1:20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</row>
    <row r="118" spans="1:20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</row>
    <row r="119" spans="1:20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</row>
    <row r="120" spans="1:20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</row>
    <row r="121" spans="1:20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</row>
    <row r="122" spans="1:20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</row>
    <row r="123" spans="1:20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</row>
    <row r="124" spans="1:20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</row>
    <row r="125" spans="1:20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</row>
    <row r="126" spans="1:20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</row>
    <row r="127" spans="1:20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</row>
    <row r="128" spans="1:20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</row>
    <row r="129" spans="1:20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</row>
    <row r="130" spans="1:20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</row>
    <row r="131" spans="1:20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</row>
    <row r="132" spans="1:20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</row>
    <row r="133" spans="1:20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</row>
    <row r="134" spans="1:20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</row>
    <row r="135" spans="1:20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</row>
    <row r="136" spans="1:20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</row>
    <row r="137" spans="1:20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</row>
    <row r="138" spans="1:20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</row>
    <row r="139" spans="1:20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</row>
    <row r="140" spans="1:20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</row>
    <row r="141" spans="1:20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</row>
    <row r="142" spans="1:20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</row>
    <row r="143" spans="1:20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</row>
    <row r="144" spans="1:20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</row>
    <row r="145" spans="1:20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</row>
    <row r="146" spans="1:20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</row>
    <row r="147" spans="1:20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</row>
    <row r="148" spans="1:20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</row>
    <row r="149" spans="1:20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</row>
    <row r="150" spans="1:20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</row>
    <row r="151" spans="1:20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</row>
    <row r="152" spans="1:20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</row>
    <row r="153" spans="1:20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</row>
    <row r="154" spans="1:20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</row>
    <row r="155" spans="1:20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</row>
    <row r="156" spans="1:20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</row>
    <row r="157" spans="1:20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</row>
    <row r="158" spans="1:20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</row>
    <row r="159" spans="1:20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</row>
    <row r="160" spans="1:20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</row>
    <row r="161" spans="1:20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</row>
    <row r="162" spans="1:20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</row>
    <row r="163" spans="1:20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spans="1:20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</row>
    <row r="165" spans="1:20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</row>
    <row r="166" spans="1:20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</row>
    <row r="167" spans="1:20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</row>
    <row r="168" spans="1:20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</row>
    <row r="169" spans="1:20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</row>
    <row r="170" spans="1:20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</row>
    <row r="171" spans="1:20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</row>
    <row r="172" spans="1:20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</row>
    <row r="173" spans="1:20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</row>
    <row r="174" spans="1:20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</row>
    <row r="175" spans="1:20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</row>
    <row r="176" spans="1:20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</row>
    <row r="177" spans="1:20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</row>
    <row r="178" spans="1:20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</row>
    <row r="179" spans="1:20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</row>
    <row r="180" spans="1:20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</row>
    <row r="181" spans="1:20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</row>
    <row r="182" spans="1:20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</row>
    <row r="183" spans="1:20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</row>
    <row r="184" spans="1:20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</row>
    <row r="185" spans="1:20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</row>
    <row r="186" spans="1:20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</row>
    <row r="187" spans="1:20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</row>
    <row r="188" spans="1:20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</row>
    <row r="189" spans="1:20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</row>
    <row r="190" spans="1:20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</row>
    <row r="191" spans="1:20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</row>
    <row r="192" spans="1:20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</row>
    <row r="193" spans="1:20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</row>
    <row r="194" spans="1:20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</row>
    <row r="195" spans="1:20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</row>
    <row r="196" spans="1:20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</row>
    <row r="197" spans="1:20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</row>
    <row r="198" spans="1:20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</row>
    <row r="199" spans="1:20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</row>
    <row r="200" spans="1:20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</row>
    <row r="201" spans="1:20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</row>
    <row r="202" spans="1:20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</row>
    <row r="203" spans="1:20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</row>
    <row r="204" spans="1:20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</row>
    <row r="205" spans="1:20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</row>
    <row r="206" spans="1:20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</row>
    <row r="207" spans="1:20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</row>
    <row r="208" spans="1:20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</row>
    <row r="209" spans="1:20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</row>
    <row r="210" spans="1:20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</row>
    <row r="211" spans="1:20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</row>
    <row r="212" spans="1:20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</row>
    <row r="213" spans="1:20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</row>
    <row r="214" spans="1:20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</row>
    <row r="215" spans="1:20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</row>
    <row r="216" spans="1:20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</row>
    <row r="217" spans="1:20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</row>
    <row r="218" spans="1:20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</row>
    <row r="219" spans="1:20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</row>
    <row r="220" spans="1:20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</row>
    <row r="221" spans="1:20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</row>
    <row r="222" spans="1:20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</row>
    <row r="223" spans="1:20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</row>
    <row r="224" spans="1:20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</row>
    <row r="225" spans="1:20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</row>
    <row r="226" spans="1:20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</row>
    <row r="227" spans="1:20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</row>
    <row r="228" spans="1:20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</row>
    <row r="229" spans="1:20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</row>
    <row r="230" spans="1:20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</row>
    <row r="231" spans="1:20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</row>
    <row r="232" spans="1:20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</row>
    <row r="233" spans="1:20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</row>
    <row r="234" spans="1:20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</row>
    <row r="235" spans="1:20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</row>
    <row r="236" spans="1:20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</row>
    <row r="237" spans="1:20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</row>
    <row r="238" spans="1:20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</row>
    <row r="239" spans="1:20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</row>
    <row r="240" spans="1:20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</row>
    <row r="241" spans="1:20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</row>
    <row r="242" spans="1:20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</row>
    <row r="243" spans="1:20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</row>
    <row r="244" spans="1:20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</row>
    <row r="245" spans="1:20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</row>
    <row r="246" spans="1:20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</row>
    <row r="247" spans="1:20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</row>
    <row r="248" spans="1:20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</row>
    <row r="249" spans="1:20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</row>
    <row r="250" spans="1:20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</row>
    <row r="251" spans="1:20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</row>
    <row r="252" spans="1:20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</row>
    <row r="253" spans="1:20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</row>
    <row r="254" spans="1:20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</row>
    <row r="255" spans="1:20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</row>
    <row r="256" spans="1:20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</row>
    <row r="257" spans="1:20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</row>
    <row r="258" spans="1:20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</row>
    <row r="259" spans="1:20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</row>
    <row r="260" spans="1:20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</row>
    <row r="261" spans="1:20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</row>
    <row r="262" spans="1:20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</row>
    <row r="263" spans="1:20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</row>
    <row r="264" spans="1:20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</row>
    <row r="265" spans="1:20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</row>
    <row r="266" spans="1:20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</row>
    <row r="267" spans="1:20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</row>
    <row r="268" spans="1:20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</row>
    <row r="269" spans="1:20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</row>
    <row r="270" spans="1:20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</row>
    <row r="271" spans="1:20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</row>
    <row r="272" spans="1:20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</row>
    <row r="273" spans="1:20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</row>
    <row r="274" spans="1:20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</row>
    <row r="275" spans="1:20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</row>
    <row r="276" spans="1:20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</row>
    <row r="277" spans="1:20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</row>
    <row r="278" spans="1:20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</row>
    <row r="279" spans="1:20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</row>
    <row r="280" spans="1:20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</row>
    <row r="281" spans="1:20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</row>
    <row r="282" spans="1:20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</row>
    <row r="283" spans="1:20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</row>
    <row r="284" spans="1:20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</row>
    <row r="285" spans="1:20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</row>
    <row r="286" spans="1:20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</row>
    <row r="287" spans="1:20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</row>
    <row r="288" spans="1:20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</row>
    <row r="289" spans="1:20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</row>
    <row r="290" spans="1:20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</row>
    <row r="291" spans="1:20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</row>
    <row r="292" spans="1:20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</row>
    <row r="293" spans="1:20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</row>
    <row r="294" spans="1:20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</row>
    <row r="295" spans="1:20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</row>
    <row r="296" spans="1:20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</row>
    <row r="297" spans="1:20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</row>
    <row r="298" spans="1:20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</row>
    <row r="299" spans="1:20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</row>
    <row r="300" spans="1:20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</row>
    <row r="301" spans="1:20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</row>
    <row r="302" spans="1:20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</row>
    <row r="303" spans="1:20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</row>
    <row r="304" spans="1:20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</row>
    <row r="305" spans="1:20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</row>
    <row r="306" spans="1:20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</row>
    <row r="307" spans="1:20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</row>
    <row r="308" spans="1:20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</row>
    <row r="309" spans="1:20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</row>
    <row r="310" spans="1:20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</row>
    <row r="311" spans="1:20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</row>
    <row r="312" spans="1:20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</row>
    <row r="313" spans="1:20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</row>
    <row r="314" spans="1:20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</row>
    <row r="315" spans="1:20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</row>
    <row r="316" spans="1:20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</row>
    <row r="317" spans="1:20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</row>
    <row r="318" spans="1:20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</row>
    <row r="319" spans="1:20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</row>
    <row r="320" spans="1:20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</row>
    <row r="321" spans="1:20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</row>
    <row r="322" spans="1:20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</row>
    <row r="323" spans="1:20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</row>
    <row r="324" spans="1:20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</row>
    <row r="325" spans="1:20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</row>
    <row r="326" spans="1:20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</row>
    <row r="327" spans="1:20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</row>
    <row r="328" spans="1:20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</row>
    <row r="329" spans="1:20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</row>
    <row r="330" spans="1:20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</row>
    <row r="331" spans="1:20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</row>
    <row r="332" spans="1:20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</row>
    <row r="333" spans="1:20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</row>
    <row r="334" spans="1:20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</row>
    <row r="335" spans="1:20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</row>
    <row r="336" spans="1:20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</row>
    <row r="337" spans="1:20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0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</row>
    <row r="339" spans="1:20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</row>
    <row r="340" spans="1:20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</row>
    <row r="341" spans="1:20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</row>
    <row r="342" spans="1:20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</row>
    <row r="343" spans="1:20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</row>
    <row r="344" spans="1:20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</row>
    <row r="345" spans="1:20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</row>
    <row r="346" spans="1:20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</row>
    <row r="347" spans="1:20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</row>
    <row r="348" spans="1:20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</row>
    <row r="349" spans="1:20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</row>
    <row r="350" spans="1:20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</row>
    <row r="351" spans="1:20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</row>
    <row r="352" spans="1:20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</row>
    <row r="353" spans="1:20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</row>
    <row r="354" spans="1:20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</row>
    <row r="355" spans="1:20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</row>
    <row r="356" spans="1:20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</row>
    <row r="357" spans="1:20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</row>
    <row r="358" spans="1:20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</row>
    <row r="359" spans="1:20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</row>
    <row r="360" spans="1:20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</row>
    <row r="361" spans="1:20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</row>
    <row r="362" spans="1:20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</row>
    <row r="363" spans="1:20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</row>
    <row r="364" spans="1:20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</row>
    <row r="365" spans="1:20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</row>
    <row r="366" spans="1:20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</row>
    <row r="367" spans="1:20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</row>
    <row r="368" spans="1:20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</row>
    <row r="369" spans="1:20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</row>
    <row r="370" spans="1:20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</row>
    <row r="371" spans="1:20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</row>
    <row r="372" spans="1:20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</row>
    <row r="373" spans="1:20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</row>
    <row r="374" spans="1:20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</row>
    <row r="375" spans="1:20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</row>
    <row r="376" spans="1:20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</row>
    <row r="377" spans="1:20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</row>
    <row r="378" spans="1:20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</row>
    <row r="379" spans="1:20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</row>
    <row r="380" spans="1:20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</row>
    <row r="381" spans="1:20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</row>
    <row r="382" spans="1:20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</row>
    <row r="383" spans="1:20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</row>
    <row r="384" spans="1:20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</row>
    <row r="385" spans="1:20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</row>
    <row r="386" spans="1:20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</row>
    <row r="387" spans="1:20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</row>
    <row r="388" spans="1:20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</row>
    <row r="389" spans="1:20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</row>
    <row r="390" spans="1:20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</row>
    <row r="391" spans="1:20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</row>
    <row r="392" spans="1:20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</row>
    <row r="393" spans="1:20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</row>
    <row r="394" spans="1:20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</row>
    <row r="395" spans="1:20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</row>
    <row r="396" spans="1:20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</row>
    <row r="397" spans="1:20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</row>
    <row r="398" spans="1:20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</row>
    <row r="399" spans="1:20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</row>
    <row r="400" spans="1:20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</row>
    <row r="401" spans="1:20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</row>
    <row r="402" spans="1:20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</row>
    <row r="403" spans="1:20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</row>
    <row r="404" spans="1:20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</row>
    <row r="405" spans="1:20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</row>
    <row r="406" spans="1:20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</row>
    <row r="407" spans="1:20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</row>
    <row r="408" spans="1:20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</row>
    <row r="409" spans="1:20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</row>
    <row r="410" spans="1:20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</row>
    <row r="411" spans="1:20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</row>
    <row r="412" spans="1:20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</row>
    <row r="413" spans="1:20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</row>
    <row r="414" spans="1:20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</row>
    <row r="415" spans="1:20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</row>
    <row r="416" spans="1:20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</row>
    <row r="417" spans="1:20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</row>
    <row r="418" spans="1:20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</row>
    <row r="419" spans="1:20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</row>
    <row r="420" spans="1:20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</row>
    <row r="421" spans="1:20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</row>
    <row r="422" spans="1:20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</row>
    <row r="423" spans="1:20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</row>
    <row r="424" spans="1:20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</row>
    <row r="425" spans="1:20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</row>
    <row r="426" spans="1:20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</row>
    <row r="427" spans="1:20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</row>
    <row r="428" spans="1:20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</row>
    <row r="429" spans="1:20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</row>
    <row r="430" spans="1:20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</row>
    <row r="431" spans="1:20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</row>
    <row r="432" spans="1:20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</row>
    <row r="433" spans="1:20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</row>
    <row r="434" spans="1:20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</row>
    <row r="435" spans="1:20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</row>
    <row r="436" spans="1:20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</row>
    <row r="437" spans="1:20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</row>
    <row r="438" spans="1:20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</row>
    <row r="439" spans="1:20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</row>
    <row r="440" spans="1:20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</row>
    <row r="441" spans="1:20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</row>
    <row r="442" spans="1:20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</row>
    <row r="443" spans="1:20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</row>
    <row r="444" spans="1:20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</row>
    <row r="445" spans="1:20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</row>
    <row r="446" spans="1:20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</row>
    <row r="447" spans="1:20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</row>
    <row r="448" spans="1:20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</row>
    <row r="449" spans="1:20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</row>
    <row r="450" spans="1:20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</row>
    <row r="451" spans="1:20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</row>
    <row r="452" spans="1:20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</row>
    <row r="453" spans="1:20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</row>
    <row r="454" spans="1:20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</row>
    <row r="455" spans="1:20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</row>
    <row r="456" spans="1:20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</row>
    <row r="457" spans="1:20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</row>
    <row r="458" spans="1:20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</row>
    <row r="459" spans="1:20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</row>
    <row r="460" spans="1:20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</row>
    <row r="461" spans="1:20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</row>
    <row r="462" spans="1:20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</row>
    <row r="463" spans="1:20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</row>
    <row r="464" spans="1:20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</row>
    <row r="465" spans="1:20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</row>
    <row r="466" spans="1:20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</row>
    <row r="467" spans="1:20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</row>
    <row r="468" spans="1:20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</row>
    <row r="469" spans="1:20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</row>
    <row r="470" spans="1:20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</row>
    <row r="471" spans="1:20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</row>
    <row r="472" spans="1:20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</row>
    <row r="473" spans="1:20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</row>
    <row r="474" spans="1:20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</row>
    <row r="475" spans="1:20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</row>
    <row r="476" spans="1:20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</row>
    <row r="477" spans="1:20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</row>
    <row r="478" spans="1:20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</row>
    <row r="479" spans="1:20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</row>
    <row r="480" spans="1:20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</row>
    <row r="481" spans="1:20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</row>
    <row r="482" spans="1:20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</row>
    <row r="483" spans="1:20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</row>
    <row r="484" spans="1:20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</row>
    <row r="485" spans="1:20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</row>
    <row r="486" spans="1:20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</row>
    <row r="487" spans="1:20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</row>
    <row r="488" spans="1:20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</row>
    <row r="489" spans="1:20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</row>
    <row r="490" spans="1:20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</row>
    <row r="491" spans="1:20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</row>
    <row r="492" spans="1:20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</row>
    <row r="493" spans="1:20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</row>
    <row r="494" spans="1:20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</row>
    <row r="495" spans="1:20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</row>
    <row r="496" spans="1:20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</row>
    <row r="497" spans="1:20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</row>
    <row r="498" spans="1:20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</row>
    <row r="499" spans="1:20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</row>
    <row r="500" spans="1:20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</row>
    <row r="501" spans="1:20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</row>
    <row r="502" spans="1:20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</row>
    <row r="503" spans="1:20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</row>
    <row r="504" spans="1:20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</row>
    <row r="505" spans="1:20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</row>
    <row r="506" spans="1:20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</row>
    <row r="507" spans="1:20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</row>
    <row r="508" spans="1:20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</row>
    <row r="509" spans="1:20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</row>
    <row r="510" spans="1:20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</row>
    <row r="511" spans="1:20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</row>
    <row r="512" spans="1:20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</row>
    <row r="513" spans="1:20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</row>
    <row r="514" spans="1:20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</row>
    <row r="515" spans="1:20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</row>
    <row r="516" spans="1:20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</row>
    <row r="517" spans="1:20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</row>
    <row r="518" spans="1:20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</row>
    <row r="519" spans="1:20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</row>
    <row r="520" spans="1:20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</row>
    <row r="521" spans="1:20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</row>
    <row r="522" spans="1:20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</row>
    <row r="523" spans="1:20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</row>
    <row r="524" spans="1:20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</row>
    <row r="525" spans="1:20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</row>
    <row r="526" spans="1:20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</row>
    <row r="527" spans="1:20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</row>
    <row r="528" spans="1:20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</row>
    <row r="529" spans="1:20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</row>
    <row r="530" spans="1:20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</row>
    <row r="531" spans="1:20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</row>
    <row r="532" spans="1:20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</row>
    <row r="533" spans="1:20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</row>
    <row r="534" spans="1:20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</row>
    <row r="535" spans="1:20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</row>
    <row r="536" spans="1:20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</row>
    <row r="537" spans="1:20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</row>
    <row r="538" spans="1:20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</row>
    <row r="539" spans="1:20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</row>
    <row r="540" spans="1:20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</row>
    <row r="541" spans="1:20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</row>
    <row r="542" spans="1:20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</row>
    <row r="543" spans="1:20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</row>
    <row r="544" spans="1:20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</row>
    <row r="545" spans="1:20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</row>
    <row r="546" spans="1:20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</row>
    <row r="547" spans="1:20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</row>
    <row r="548" spans="1:20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</row>
    <row r="549" spans="1:20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</row>
    <row r="550" spans="1:20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</row>
    <row r="551" spans="1:20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</row>
    <row r="552" spans="1:20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</row>
    <row r="553" spans="1:20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</row>
    <row r="554" spans="1:20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</row>
    <row r="555" spans="1:20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</row>
    <row r="556" spans="1:20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</row>
    <row r="557" spans="1:20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</row>
    <row r="558" spans="1:20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</row>
    <row r="559" spans="1:20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</row>
    <row r="560" spans="1:20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</row>
    <row r="561" spans="1:20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</row>
    <row r="562" spans="1:20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</row>
    <row r="563" spans="1:20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</row>
    <row r="564" spans="1:20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</row>
    <row r="565" spans="1:20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</row>
    <row r="566" spans="1:20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</row>
    <row r="567" spans="1:20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</row>
    <row r="568" spans="1:20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</row>
    <row r="569" spans="1:20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</row>
    <row r="570" spans="1:20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</row>
    <row r="571" spans="1:20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</row>
    <row r="572" spans="1:20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</row>
    <row r="573" spans="1:20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</row>
    <row r="574" spans="1:20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</row>
    <row r="575" spans="1:20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</row>
    <row r="576" spans="1:20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</row>
    <row r="577" spans="1:20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</row>
    <row r="578" spans="1:20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</row>
    <row r="579" spans="1:20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</row>
    <row r="580" spans="1:20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</row>
    <row r="581" spans="1:20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</row>
    <row r="582" spans="1:20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</row>
    <row r="583" spans="1:20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</row>
    <row r="584" spans="1:20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</row>
    <row r="585" spans="1:20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</row>
    <row r="586" spans="1:20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</row>
    <row r="587" spans="1:20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</row>
    <row r="588" spans="1:20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</row>
    <row r="589" spans="1:20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</row>
    <row r="590" spans="1:20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</row>
    <row r="591" spans="1:20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</row>
    <row r="592" spans="1:20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</row>
    <row r="593" spans="1:20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</row>
    <row r="594" spans="1:20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</row>
    <row r="595" spans="1:20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</row>
    <row r="596" spans="1:20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</row>
    <row r="597" spans="1:20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</row>
    <row r="598" spans="1:20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</row>
    <row r="599" spans="1:20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</row>
    <row r="600" spans="1:20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</row>
    <row r="601" spans="1:20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</row>
    <row r="602" spans="1:20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</row>
    <row r="603" spans="1:20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</row>
    <row r="604" spans="1:20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</row>
    <row r="605" spans="1:20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</row>
    <row r="606" spans="1:20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</row>
    <row r="607" spans="1:20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</row>
    <row r="608" spans="1:20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</row>
    <row r="609" spans="1:20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</row>
    <row r="610" spans="1:20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</row>
    <row r="611" spans="1:20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</row>
    <row r="612" spans="1:20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</row>
    <row r="613" spans="1:20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</row>
    <row r="614" spans="1:20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</row>
    <row r="615" spans="1:20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</row>
    <row r="616" spans="1:20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</row>
    <row r="617" spans="1:20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</row>
    <row r="618" spans="1:20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</row>
    <row r="619" spans="1:20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</row>
    <row r="620" spans="1:20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</row>
    <row r="621" spans="1:20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</row>
    <row r="622" spans="1:20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</row>
    <row r="623" spans="1:20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</row>
    <row r="624" spans="1:20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</row>
    <row r="625" spans="1:20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</row>
    <row r="626" spans="1:20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</row>
    <row r="627" spans="1:20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</row>
    <row r="628" spans="1:20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</row>
    <row r="629" spans="1:20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</row>
    <row r="630" spans="1:20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</row>
    <row r="631" spans="1:20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</row>
    <row r="632" spans="1:20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</row>
    <row r="633" spans="1:20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</row>
    <row r="634" spans="1:20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</row>
    <row r="635" spans="1:20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</row>
    <row r="636" spans="1:20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</row>
    <row r="637" spans="1:20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</row>
    <row r="638" spans="1:20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</row>
    <row r="639" spans="1:20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</row>
    <row r="640" spans="1:20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</row>
    <row r="641" spans="1:20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</row>
    <row r="642" spans="1:20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</row>
    <row r="643" spans="1:20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</row>
    <row r="644" spans="1:20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</row>
    <row r="645" spans="1:20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</row>
    <row r="646" spans="1:20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</row>
    <row r="647" spans="1:20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</row>
    <row r="648" spans="1:20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</row>
    <row r="649" spans="1:20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</row>
    <row r="650" spans="1:20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</row>
    <row r="651" spans="1:20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</row>
    <row r="652" spans="1:20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</row>
    <row r="653" spans="1:20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</row>
    <row r="654" spans="1:20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</row>
    <row r="655" spans="1:20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</row>
    <row r="656" spans="1:20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</row>
    <row r="657" spans="1:20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</row>
    <row r="658" spans="1:20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</row>
    <row r="659" spans="1:20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</row>
    <row r="660" spans="1:20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</row>
    <row r="661" spans="1:20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</row>
    <row r="662" spans="1:20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</row>
    <row r="663" spans="1:20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</row>
    <row r="664" spans="1:20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</row>
    <row r="665" spans="1:20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</row>
    <row r="666" spans="1:20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</row>
    <row r="667" spans="1:20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</row>
    <row r="668" spans="1:20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</row>
    <row r="669" spans="1:20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</row>
    <row r="670" spans="1:20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</row>
    <row r="671" spans="1:20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</row>
    <row r="672" spans="1:20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</row>
    <row r="673" spans="1:20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</row>
    <row r="674" spans="1:20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</row>
    <row r="675" spans="1:20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</row>
    <row r="676" spans="1:20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</row>
    <row r="677" spans="1:20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</row>
    <row r="678" spans="1:20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</row>
    <row r="679" spans="1:20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</row>
    <row r="680" spans="1:20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</row>
    <row r="681" spans="1:20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</row>
    <row r="682" spans="1:20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</row>
    <row r="683" spans="1:20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</row>
    <row r="684" spans="1:20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</row>
    <row r="685" spans="1:20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</row>
    <row r="686" spans="1:20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</row>
    <row r="687" spans="1:20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</row>
    <row r="688" spans="1:20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</row>
    <row r="689" spans="1:20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</row>
    <row r="690" spans="1:20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</row>
    <row r="691" spans="1:20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</row>
    <row r="692" spans="1:20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</row>
    <row r="693" spans="1:20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</row>
    <row r="694" spans="1:20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</row>
    <row r="695" spans="1:20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</row>
    <row r="696" spans="1:20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</row>
    <row r="697" spans="1:20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</row>
    <row r="698" spans="1:20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</row>
    <row r="699" spans="1:20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</row>
    <row r="700" spans="1:20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</row>
    <row r="701" spans="1:20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</row>
    <row r="702" spans="1:20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</row>
    <row r="703" spans="1:20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</row>
    <row r="704" spans="1:20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</row>
    <row r="705" spans="1:20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</row>
    <row r="706" spans="1:20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</row>
    <row r="707" spans="1:20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</row>
    <row r="708" spans="1:20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</row>
    <row r="709" spans="1:20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</row>
    <row r="710" spans="1:20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</row>
    <row r="711" spans="1:20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</row>
    <row r="712" spans="1:20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</row>
    <row r="713" spans="1:20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</row>
    <row r="714" spans="1:20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</row>
    <row r="715" spans="1:20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</row>
    <row r="716" spans="1:20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</row>
    <row r="717" spans="1:20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</row>
    <row r="718" spans="1:20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</row>
    <row r="719" spans="1:20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</row>
    <row r="720" spans="1:20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</row>
    <row r="721" spans="1:20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</row>
    <row r="722" spans="1:20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</row>
    <row r="723" spans="1:20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</row>
    <row r="724" spans="1:20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</row>
    <row r="725" spans="1:20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</row>
    <row r="726" spans="1:20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</row>
    <row r="727" spans="1:20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</row>
    <row r="728" spans="1:20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</row>
    <row r="729" spans="1:20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</row>
    <row r="730" spans="1:20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</row>
    <row r="731" spans="1:20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</row>
    <row r="732" spans="1:20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</row>
    <row r="733" spans="1:20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</row>
    <row r="734" spans="1:20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</row>
    <row r="735" spans="1:20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</row>
    <row r="736" spans="1:20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</row>
    <row r="737" spans="1:20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</row>
    <row r="738" spans="1:20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</row>
    <row r="739" spans="1:20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</row>
    <row r="740" spans="1:20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</row>
    <row r="741" spans="1:20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</row>
    <row r="742" spans="1:20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</row>
    <row r="743" spans="1:20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</row>
    <row r="744" spans="1:20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</row>
    <row r="745" spans="1:20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</row>
    <row r="746" spans="1:20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</row>
    <row r="747" spans="1:20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</row>
    <row r="748" spans="1:20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</row>
    <row r="749" spans="1:20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</row>
    <row r="750" spans="1:20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</row>
    <row r="751" spans="1:20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</row>
    <row r="752" spans="1:20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</row>
    <row r="753" spans="1:20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</row>
    <row r="754" spans="1:20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</row>
    <row r="755" spans="1:20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</row>
    <row r="756" spans="1:20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</row>
    <row r="757" spans="1:20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</row>
    <row r="758" spans="1:20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</row>
    <row r="759" spans="1:20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</row>
    <row r="760" spans="1:20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</row>
    <row r="761" spans="1:20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</row>
    <row r="762" spans="1:20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</row>
    <row r="763" spans="1:20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</row>
    <row r="764" spans="1:20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</row>
    <row r="765" spans="1:20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</row>
    <row r="766" spans="1:20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</row>
    <row r="767" spans="1:20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</row>
    <row r="768" spans="1:20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</row>
    <row r="769" spans="1:20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</row>
    <row r="770" spans="1:20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</row>
    <row r="771" spans="1:20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</row>
    <row r="772" spans="1:20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</row>
    <row r="773" spans="1:20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</row>
    <row r="774" spans="1:20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</row>
    <row r="775" spans="1:20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</row>
    <row r="776" spans="1:20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</row>
    <row r="777" spans="1:20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</row>
    <row r="778" spans="1:20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</row>
    <row r="779" spans="1:20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</row>
    <row r="780" spans="1:20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</row>
    <row r="781" spans="1:20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</row>
    <row r="782" spans="1:20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</row>
    <row r="783" spans="1:20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</row>
    <row r="784" spans="1:20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</row>
    <row r="785" spans="1:20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</row>
    <row r="786" spans="1:20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</row>
    <row r="787" spans="1:20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</row>
    <row r="788" spans="1:20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</row>
    <row r="789" spans="1:20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</row>
    <row r="790" spans="1:20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</row>
    <row r="791" spans="1:20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</row>
    <row r="792" spans="1:20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</row>
    <row r="793" spans="1:20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</row>
    <row r="794" spans="1:20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</row>
    <row r="795" spans="1:20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</row>
    <row r="796" spans="1:20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</row>
    <row r="797" spans="1:20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</row>
    <row r="798" spans="1:20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</row>
    <row r="799" spans="1:20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</row>
    <row r="800" spans="1:20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</row>
    <row r="801" spans="1:20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</row>
    <row r="802" spans="1:20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</row>
    <row r="803" spans="1:20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</row>
    <row r="804" spans="1:20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</row>
    <row r="805" spans="1:20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</row>
    <row r="806" spans="1:20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</row>
    <row r="807" spans="1:20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</row>
    <row r="808" spans="1:20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</row>
    <row r="809" spans="1:20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</row>
    <row r="810" spans="1:20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</row>
    <row r="811" spans="1:20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</row>
    <row r="812" spans="1:20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</row>
    <row r="813" spans="1:20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</row>
    <row r="814" spans="1:20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</row>
    <row r="815" spans="1:20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</row>
    <row r="816" spans="1:20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</row>
    <row r="817" spans="1:20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</row>
    <row r="818" spans="1:20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</row>
    <row r="819" spans="1:20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</row>
    <row r="820" spans="1:20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</row>
    <row r="821" spans="1:20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</row>
    <row r="822" spans="1:20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</row>
    <row r="823" spans="1:20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</row>
    <row r="824" spans="1:20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</row>
    <row r="825" spans="1:20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</row>
    <row r="826" spans="1:20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</row>
    <row r="827" spans="1:20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</row>
    <row r="828" spans="1:20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</row>
    <row r="829" spans="1:20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</row>
    <row r="830" spans="1:20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</row>
    <row r="831" spans="1:20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</row>
    <row r="832" spans="1:20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</row>
    <row r="833" spans="1:20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</row>
    <row r="834" spans="1:20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</row>
    <row r="835" spans="1:20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</row>
    <row r="836" spans="1:20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</row>
    <row r="837" spans="1:20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</row>
    <row r="838" spans="1:20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</row>
    <row r="839" spans="1:20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</row>
    <row r="840" spans="1:20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</row>
    <row r="841" spans="1:20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</row>
    <row r="842" spans="1:20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</row>
    <row r="843" spans="1:20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</row>
    <row r="844" spans="1:20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</row>
    <row r="845" spans="1:20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</row>
    <row r="846" spans="1:20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</row>
    <row r="847" spans="1:20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</row>
    <row r="848" spans="1:20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</row>
    <row r="849" spans="1:20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</row>
    <row r="850" spans="1:20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</row>
    <row r="851" spans="1:20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</row>
    <row r="852" spans="1:20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</row>
    <row r="853" spans="1:20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</row>
    <row r="854" spans="1:20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</row>
    <row r="855" spans="1:20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</row>
    <row r="856" spans="1:20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</row>
    <row r="857" spans="1:20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</row>
    <row r="858" spans="1:20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</row>
    <row r="859" spans="1:20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</row>
    <row r="860" spans="1:20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</row>
    <row r="861" spans="1:20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</row>
    <row r="862" spans="1:20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</row>
    <row r="863" spans="1:20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</row>
    <row r="864" spans="1:20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</row>
    <row r="865" spans="1:20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</row>
    <row r="866" spans="1:20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</row>
    <row r="867" spans="1:20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</row>
    <row r="868" spans="1:20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</row>
    <row r="869" spans="1:20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</row>
    <row r="870" spans="1:20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</row>
    <row r="871" spans="1:20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</row>
    <row r="872" spans="1:20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</row>
    <row r="873" spans="1:20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</row>
    <row r="874" spans="1:20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</row>
    <row r="875" spans="1:20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</row>
    <row r="876" spans="1:20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</row>
    <row r="877" spans="1:20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</row>
    <row r="878" spans="1:20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</row>
    <row r="879" spans="1:20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</row>
    <row r="880" spans="1:20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</row>
    <row r="881" spans="1:20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</row>
    <row r="882" spans="1:20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</row>
    <row r="883" spans="1:20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</row>
    <row r="884" spans="1:20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</row>
    <row r="885" spans="1:20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</row>
    <row r="886" spans="1:20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</row>
    <row r="887" spans="1:20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</row>
    <row r="888" spans="1:20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</row>
    <row r="889" spans="1:20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</row>
    <row r="890" spans="1:20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</row>
    <row r="891" spans="1:20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</row>
    <row r="892" spans="1:20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</row>
    <row r="893" spans="1:20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</row>
    <row r="894" spans="1:20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</row>
    <row r="895" spans="1:20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</row>
    <row r="896" spans="1:20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</row>
    <row r="897" spans="1:20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</row>
    <row r="898" spans="1:20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</row>
    <row r="899" spans="1:20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</row>
    <row r="900" spans="1:20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</row>
    <row r="901" spans="1:20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</row>
    <row r="902" spans="1:20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</row>
    <row r="903" spans="1:20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</row>
    <row r="904" spans="1:20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</row>
    <row r="905" spans="1:20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</row>
    <row r="906" spans="1:20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</row>
    <row r="907" spans="1:20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</row>
    <row r="908" spans="1:20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</row>
    <row r="909" spans="1:20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</row>
    <row r="910" spans="1:20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</row>
    <row r="911" spans="1:20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</row>
    <row r="912" spans="1:20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</row>
    <row r="913" spans="1:20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</row>
    <row r="914" spans="1:20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</row>
    <row r="915" spans="1:20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</row>
    <row r="916" spans="1:20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</row>
    <row r="917" spans="1:20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</row>
    <row r="918" spans="1:20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</row>
  </sheetData>
  <conditionalFormatting sqref="D2:D31">
    <cfRule type="containsText" dxfId="4" priority="6" operator="containsText" text="At Risk">
      <formula>NOT(ISERROR(SEARCH("At Risk",D2)))</formula>
    </cfRule>
    <cfRule type="containsText" dxfId="3" priority="7" operator="containsText" text="Submitted">
      <formula>NOT(ISERROR(SEARCH("Submitted",D2)))</formula>
    </cfRule>
    <cfRule type="containsText" dxfId="2" priority="8" operator="containsText" text="Behind Schedule">
      <formula>NOT(ISERROR(SEARCH("Behind Schedule",D2)))</formula>
    </cfRule>
    <cfRule type="containsText" dxfId="1" priority="9" operator="containsText" text="On Track">
      <formula>NOT(ISERROR(SEARCH("On Track",D2)))</formula>
    </cfRule>
    <cfRule type="containsText" dxfId="0" priority="10" operator="containsText" text="Not Started">
      <formula>NOT(ISERROR(SEARCH("Not Started",D2)))</formula>
    </cfRule>
  </conditionalFormatting>
  <dataValidations count="1">
    <dataValidation type="list" showErrorMessage="1" sqref="D2:D31">
      <formula1>"Not Started,On Track,At Risk,Behind Schedule,Submitted"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Y122"/>
  <sheetViews>
    <sheetView zoomScaleNormal="100" workbookViewId="0">
      <pane xSplit="5" ySplit="1" topLeftCell="F2" activePane="bottomRight" state="frozen"/>
      <selection activeCell="Q27" sqref="Q27"/>
      <selection pane="topRight" activeCell="Q27" sqref="Q27"/>
      <selection pane="bottomLeft" activeCell="Q27" sqref="Q27"/>
      <selection pane="bottomRight" activeCell="Q27" sqref="Q27"/>
    </sheetView>
  </sheetViews>
  <sheetFormatPr defaultColWidth="17.140625" defaultRowHeight="12.75" customHeight="1" outlineLevelRow="2" x14ac:dyDescent="0.2"/>
  <cols>
    <col min="1" max="1" width="8.5703125" style="75" customWidth="1"/>
    <col min="2" max="2" width="37.28515625" style="75" customWidth="1"/>
    <col min="3" max="3" width="11.42578125" style="75" hidden="1" customWidth="1"/>
    <col min="4" max="4" width="9.140625" style="75" hidden="1" customWidth="1"/>
    <col min="5" max="5" width="11.28515625" style="76" customWidth="1"/>
    <col min="6" max="21" width="5.7109375" style="75" customWidth="1"/>
    <col min="22" max="25" width="17.140625" style="75" customWidth="1"/>
    <col min="26" max="256" width="17.140625" style="75"/>
    <col min="257" max="257" width="8.5703125" style="75" customWidth="1"/>
    <col min="258" max="258" width="37.28515625" style="75" customWidth="1"/>
    <col min="259" max="260" width="0" style="75" hidden="1" customWidth="1"/>
    <col min="261" max="261" width="11.28515625" style="75" customWidth="1"/>
    <col min="262" max="277" width="5.7109375" style="75" customWidth="1"/>
    <col min="278" max="281" width="17.140625" style="75" customWidth="1"/>
    <col min="282" max="512" width="17.140625" style="75"/>
    <col min="513" max="513" width="8.5703125" style="75" customWidth="1"/>
    <col min="514" max="514" width="37.28515625" style="75" customWidth="1"/>
    <col min="515" max="516" width="0" style="75" hidden="1" customWidth="1"/>
    <col min="517" max="517" width="11.28515625" style="75" customWidth="1"/>
    <col min="518" max="533" width="5.7109375" style="75" customWidth="1"/>
    <col min="534" max="537" width="17.140625" style="75" customWidth="1"/>
    <col min="538" max="768" width="17.140625" style="75"/>
    <col min="769" max="769" width="8.5703125" style="75" customWidth="1"/>
    <col min="770" max="770" width="37.28515625" style="75" customWidth="1"/>
    <col min="771" max="772" width="0" style="75" hidden="1" customWidth="1"/>
    <col min="773" max="773" width="11.28515625" style="75" customWidth="1"/>
    <col min="774" max="789" width="5.7109375" style="75" customWidth="1"/>
    <col min="790" max="793" width="17.140625" style="75" customWidth="1"/>
    <col min="794" max="1024" width="17.140625" style="75"/>
    <col min="1025" max="1025" width="8.5703125" style="75" customWidth="1"/>
    <col min="1026" max="1026" width="37.28515625" style="75" customWidth="1"/>
    <col min="1027" max="1028" width="0" style="75" hidden="1" customWidth="1"/>
    <col min="1029" max="1029" width="11.28515625" style="75" customWidth="1"/>
    <col min="1030" max="1045" width="5.7109375" style="75" customWidth="1"/>
    <col min="1046" max="1049" width="17.140625" style="75" customWidth="1"/>
    <col min="1050" max="1280" width="17.140625" style="75"/>
    <col min="1281" max="1281" width="8.5703125" style="75" customWidth="1"/>
    <col min="1282" max="1282" width="37.28515625" style="75" customWidth="1"/>
    <col min="1283" max="1284" width="0" style="75" hidden="1" customWidth="1"/>
    <col min="1285" max="1285" width="11.28515625" style="75" customWidth="1"/>
    <col min="1286" max="1301" width="5.7109375" style="75" customWidth="1"/>
    <col min="1302" max="1305" width="17.140625" style="75" customWidth="1"/>
    <col min="1306" max="1536" width="17.140625" style="75"/>
    <col min="1537" max="1537" width="8.5703125" style="75" customWidth="1"/>
    <col min="1538" max="1538" width="37.28515625" style="75" customWidth="1"/>
    <col min="1539" max="1540" width="0" style="75" hidden="1" customWidth="1"/>
    <col min="1541" max="1541" width="11.28515625" style="75" customWidth="1"/>
    <col min="1542" max="1557" width="5.7109375" style="75" customWidth="1"/>
    <col min="1558" max="1561" width="17.140625" style="75" customWidth="1"/>
    <col min="1562" max="1792" width="17.140625" style="75"/>
    <col min="1793" max="1793" width="8.5703125" style="75" customWidth="1"/>
    <col min="1794" max="1794" width="37.28515625" style="75" customWidth="1"/>
    <col min="1795" max="1796" width="0" style="75" hidden="1" customWidth="1"/>
    <col min="1797" max="1797" width="11.28515625" style="75" customWidth="1"/>
    <col min="1798" max="1813" width="5.7109375" style="75" customWidth="1"/>
    <col min="1814" max="1817" width="17.140625" style="75" customWidth="1"/>
    <col min="1818" max="2048" width="17.140625" style="75"/>
    <col min="2049" max="2049" width="8.5703125" style="75" customWidth="1"/>
    <col min="2050" max="2050" width="37.28515625" style="75" customWidth="1"/>
    <col min="2051" max="2052" width="0" style="75" hidden="1" customWidth="1"/>
    <col min="2053" max="2053" width="11.28515625" style="75" customWidth="1"/>
    <col min="2054" max="2069" width="5.7109375" style="75" customWidth="1"/>
    <col min="2070" max="2073" width="17.140625" style="75" customWidth="1"/>
    <col min="2074" max="2304" width="17.140625" style="75"/>
    <col min="2305" max="2305" width="8.5703125" style="75" customWidth="1"/>
    <col min="2306" max="2306" width="37.28515625" style="75" customWidth="1"/>
    <col min="2307" max="2308" width="0" style="75" hidden="1" customWidth="1"/>
    <col min="2309" max="2309" width="11.28515625" style="75" customWidth="1"/>
    <col min="2310" max="2325" width="5.7109375" style="75" customWidth="1"/>
    <col min="2326" max="2329" width="17.140625" style="75" customWidth="1"/>
    <col min="2330" max="2560" width="17.140625" style="75"/>
    <col min="2561" max="2561" width="8.5703125" style="75" customWidth="1"/>
    <col min="2562" max="2562" width="37.28515625" style="75" customWidth="1"/>
    <col min="2563" max="2564" width="0" style="75" hidden="1" customWidth="1"/>
    <col min="2565" max="2565" width="11.28515625" style="75" customWidth="1"/>
    <col min="2566" max="2581" width="5.7109375" style="75" customWidth="1"/>
    <col min="2582" max="2585" width="17.140625" style="75" customWidth="1"/>
    <col min="2586" max="2816" width="17.140625" style="75"/>
    <col min="2817" max="2817" width="8.5703125" style="75" customWidth="1"/>
    <col min="2818" max="2818" width="37.28515625" style="75" customWidth="1"/>
    <col min="2819" max="2820" width="0" style="75" hidden="1" customWidth="1"/>
    <col min="2821" max="2821" width="11.28515625" style="75" customWidth="1"/>
    <col min="2822" max="2837" width="5.7109375" style="75" customWidth="1"/>
    <col min="2838" max="2841" width="17.140625" style="75" customWidth="1"/>
    <col min="2842" max="3072" width="17.140625" style="75"/>
    <col min="3073" max="3073" width="8.5703125" style="75" customWidth="1"/>
    <col min="3074" max="3074" width="37.28515625" style="75" customWidth="1"/>
    <col min="3075" max="3076" width="0" style="75" hidden="1" customWidth="1"/>
    <col min="3077" max="3077" width="11.28515625" style="75" customWidth="1"/>
    <col min="3078" max="3093" width="5.7109375" style="75" customWidth="1"/>
    <col min="3094" max="3097" width="17.140625" style="75" customWidth="1"/>
    <col min="3098" max="3328" width="17.140625" style="75"/>
    <col min="3329" max="3329" width="8.5703125" style="75" customWidth="1"/>
    <col min="3330" max="3330" width="37.28515625" style="75" customWidth="1"/>
    <col min="3331" max="3332" width="0" style="75" hidden="1" customWidth="1"/>
    <col min="3333" max="3333" width="11.28515625" style="75" customWidth="1"/>
    <col min="3334" max="3349" width="5.7109375" style="75" customWidth="1"/>
    <col min="3350" max="3353" width="17.140625" style="75" customWidth="1"/>
    <col min="3354" max="3584" width="17.140625" style="75"/>
    <col min="3585" max="3585" width="8.5703125" style="75" customWidth="1"/>
    <col min="3586" max="3586" width="37.28515625" style="75" customWidth="1"/>
    <col min="3587" max="3588" width="0" style="75" hidden="1" customWidth="1"/>
    <col min="3589" max="3589" width="11.28515625" style="75" customWidth="1"/>
    <col min="3590" max="3605" width="5.7109375" style="75" customWidth="1"/>
    <col min="3606" max="3609" width="17.140625" style="75" customWidth="1"/>
    <col min="3610" max="3840" width="17.140625" style="75"/>
    <col min="3841" max="3841" width="8.5703125" style="75" customWidth="1"/>
    <col min="3842" max="3842" width="37.28515625" style="75" customWidth="1"/>
    <col min="3843" max="3844" width="0" style="75" hidden="1" customWidth="1"/>
    <col min="3845" max="3845" width="11.28515625" style="75" customWidth="1"/>
    <col min="3846" max="3861" width="5.7109375" style="75" customWidth="1"/>
    <col min="3862" max="3865" width="17.140625" style="75" customWidth="1"/>
    <col min="3866" max="4096" width="17.140625" style="75"/>
    <col min="4097" max="4097" width="8.5703125" style="75" customWidth="1"/>
    <col min="4098" max="4098" width="37.28515625" style="75" customWidth="1"/>
    <col min="4099" max="4100" width="0" style="75" hidden="1" customWidth="1"/>
    <col min="4101" max="4101" width="11.28515625" style="75" customWidth="1"/>
    <col min="4102" max="4117" width="5.7109375" style="75" customWidth="1"/>
    <col min="4118" max="4121" width="17.140625" style="75" customWidth="1"/>
    <col min="4122" max="4352" width="17.140625" style="75"/>
    <col min="4353" max="4353" width="8.5703125" style="75" customWidth="1"/>
    <col min="4354" max="4354" width="37.28515625" style="75" customWidth="1"/>
    <col min="4355" max="4356" width="0" style="75" hidden="1" customWidth="1"/>
    <col min="4357" max="4357" width="11.28515625" style="75" customWidth="1"/>
    <col min="4358" max="4373" width="5.7109375" style="75" customWidth="1"/>
    <col min="4374" max="4377" width="17.140625" style="75" customWidth="1"/>
    <col min="4378" max="4608" width="17.140625" style="75"/>
    <col min="4609" max="4609" width="8.5703125" style="75" customWidth="1"/>
    <col min="4610" max="4610" width="37.28515625" style="75" customWidth="1"/>
    <col min="4611" max="4612" width="0" style="75" hidden="1" customWidth="1"/>
    <col min="4613" max="4613" width="11.28515625" style="75" customWidth="1"/>
    <col min="4614" max="4629" width="5.7109375" style="75" customWidth="1"/>
    <col min="4630" max="4633" width="17.140625" style="75" customWidth="1"/>
    <col min="4634" max="4864" width="17.140625" style="75"/>
    <col min="4865" max="4865" width="8.5703125" style="75" customWidth="1"/>
    <col min="4866" max="4866" width="37.28515625" style="75" customWidth="1"/>
    <col min="4867" max="4868" width="0" style="75" hidden="1" customWidth="1"/>
    <col min="4869" max="4869" width="11.28515625" style="75" customWidth="1"/>
    <col min="4870" max="4885" width="5.7109375" style="75" customWidth="1"/>
    <col min="4886" max="4889" width="17.140625" style="75" customWidth="1"/>
    <col min="4890" max="5120" width="17.140625" style="75"/>
    <col min="5121" max="5121" width="8.5703125" style="75" customWidth="1"/>
    <col min="5122" max="5122" width="37.28515625" style="75" customWidth="1"/>
    <col min="5123" max="5124" width="0" style="75" hidden="1" customWidth="1"/>
    <col min="5125" max="5125" width="11.28515625" style="75" customWidth="1"/>
    <col min="5126" max="5141" width="5.7109375" style="75" customWidth="1"/>
    <col min="5142" max="5145" width="17.140625" style="75" customWidth="1"/>
    <col min="5146" max="5376" width="17.140625" style="75"/>
    <col min="5377" max="5377" width="8.5703125" style="75" customWidth="1"/>
    <col min="5378" max="5378" width="37.28515625" style="75" customWidth="1"/>
    <col min="5379" max="5380" width="0" style="75" hidden="1" customWidth="1"/>
    <col min="5381" max="5381" width="11.28515625" style="75" customWidth="1"/>
    <col min="5382" max="5397" width="5.7109375" style="75" customWidth="1"/>
    <col min="5398" max="5401" width="17.140625" style="75" customWidth="1"/>
    <col min="5402" max="5632" width="17.140625" style="75"/>
    <col min="5633" max="5633" width="8.5703125" style="75" customWidth="1"/>
    <col min="5634" max="5634" width="37.28515625" style="75" customWidth="1"/>
    <col min="5635" max="5636" width="0" style="75" hidden="1" customWidth="1"/>
    <col min="5637" max="5637" width="11.28515625" style="75" customWidth="1"/>
    <col min="5638" max="5653" width="5.7109375" style="75" customWidth="1"/>
    <col min="5654" max="5657" width="17.140625" style="75" customWidth="1"/>
    <col min="5658" max="5888" width="17.140625" style="75"/>
    <col min="5889" max="5889" width="8.5703125" style="75" customWidth="1"/>
    <col min="5890" max="5890" width="37.28515625" style="75" customWidth="1"/>
    <col min="5891" max="5892" width="0" style="75" hidden="1" customWidth="1"/>
    <col min="5893" max="5893" width="11.28515625" style="75" customWidth="1"/>
    <col min="5894" max="5909" width="5.7109375" style="75" customWidth="1"/>
    <col min="5910" max="5913" width="17.140625" style="75" customWidth="1"/>
    <col min="5914" max="6144" width="17.140625" style="75"/>
    <col min="6145" max="6145" width="8.5703125" style="75" customWidth="1"/>
    <col min="6146" max="6146" width="37.28515625" style="75" customWidth="1"/>
    <col min="6147" max="6148" width="0" style="75" hidden="1" customWidth="1"/>
    <col min="6149" max="6149" width="11.28515625" style="75" customWidth="1"/>
    <col min="6150" max="6165" width="5.7109375" style="75" customWidth="1"/>
    <col min="6166" max="6169" width="17.140625" style="75" customWidth="1"/>
    <col min="6170" max="6400" width="17.140625" style="75"/>
    <col min="6401" max="6401" width="8.5703125" style="75" customWidth="1"/>
    <col min="6402" max="6402" width="37.28515625" style="75" customWidth="1"/>
    <col min="6403" max="6404" width="0" style="75" hidden="1" customWidth="1"/>
    <col min="6405" max="6405" width="11.28515625" style="75" customWidth="1"/>
    <col min="6406" max="6421" width="5.7109375" style="75" customWidth="1"/>
    <col min="6422" max="6425" width="17.140625" style="75" customWidth="1"/>
    <col min="6426" max="6656" width="17.140625" style="75"/>
    <col min="6657" max="6657" width="8.5703125" style="75" customWidth="1"/>
    <col min="6658" max="6658" width="37.28515625" style="75" customWidth="1"/>
    <col min="6659" max="6660" width="0" style="75" hidden="1" customWidth="1"/>
    <col min="6661" max="6661" width="11.28515625" style="75" customWidth="1"/>
    <col min="6662" max="6677" width="5.7109375" style="75" customWidth="1"/>
    <col min="6678" max="6681" width="17.140625" style="75" customWidth="1"/>
    <col min="6682" max="6912" width="17.140625" style="75"/>
    <col min="6913" max="6913" width="8.5703125" style="75" customWidth="1"/>
    <col min="6914" max="6914" width="37.28515625" style="75" customWidth="1"/>
    <col min="6915" max="6916" width="0" style="75" hidden="1" customWidth="1"/>
    <col min="6917" max="6917" width="11.28515625" style="75" customWidth="1"/>
    <col min="6918" max="6933" width="5.7109375" style="75" customWidth="1"/>
    <col min="6934" max="6937" width="17.140625" style="75" customWidth="1"/>
    <col min="6938" max="7168" width="17.140625" style="75"/>
    <col min="7169" max="7169" width="8.5703125" style="75" customWidth="1"/>
    <col min="7170" max="7170" width="37.28515625" style="75" customWidth="1"/>
    <col min="7171" max="7172" width="0" style="75" hidden="1" customWidth="1"/>
    <col min="7173" max="7173" width="11.28515625" style="75" customWidth="1"/>
    <col min="7174" max="7189" width="5.7109375" style="75" customWidth="1"/>
    <col min="7190" max="7193" width="17.140625" style="75" customWidth="1"/>
    <col min="7194" max="7424" width="17.140625" style="75"/>
    <col min="7425" max="7425" width="8.5703125" style="75" customWidth="1"/>
    <col min="7426" max="7426" width="37.28515625" style="75" customWidth="1"/>
    <col min="7427" max="7428" width="0" style="75" hidden="1" customWidth="1"/>
    <col min="7429" max="7429" width="11.28515625" style="75" customWidth="1"/>
    <col min="7430" max="7445" width="5.7109375" style="75" customWidth="1"/>
    <col min="7446" max="7449" width="17.140625" style="75" customWidth="1"/>
    <col min="7450" max="7680" width="17.140625" style="75"/>
    <col min="7681" max="7681" width="8.5703125" style="75" customWidth="1"/>
    <col min="7682" max="7682" width="37.28515625" style="75" customWidth="1"/>
    <col min="7683" max="7684" width="0" style="75" hidden="1" customWidth="1"/>
    <col min="7685" max="7685" width="11.28515625" style="75" customWidth="1"/>
    <col min="7686" max="7701" width="5.7109375" style="75" customWidth="1"/>
    <col min="7702" max="7705" width="17.140625" style="75" customWidth="1"/>
    <col min="7706" max="7936" width="17.140625" style="75"/>
    <col min="7937" max="7937" width="8.5703125" style="75" customWidth="1"/>
    <col min="7938" max="7938" width="37.28515625" style="75" customWidth="1"/>
    <col min="7939" max="7940" width="0" style="75" hidden="1" customWidth="1"/>
    <col min="7941" max="7941" width="11.28515625" style="75" customWidth="1"/>
    <col min="7942" max="7957" width="5.7109375" style="75" customWidth="1"/>
    <col min="7958" max="7961" width="17.140625" style="75" customWidth="1"/>
    <col min="7962" max="8192" width="17.140625" style="75"/>
    <col min="8193" max="8193" width="8.5703125" style="75" customWidth="1"/>
    <col min="8194" max="8194" width="37.28515625" style="75" customWidth="1"/>
    <col min="8195" max="8196" width="0" style="75" hidden="1" customWidth="1"/>
    <col min="8197" max="8197" width="11.28515625" style="75" customWidth="1"/>
    <col min="8198" max="8213" width="5.7109375" style="75" customWidth="1"/>
    <col min="8214" max="8217" width="17.140625" style="75" customWidth="1"/>
    <col min="8218" max="8448" width="17.140625" style="75"/>
    <col min="8449" max="8449" width="8.5703125" style="75" customWidth="1"/>
    <col min="8450" max="8450" width="37.28515625" style="75" customWidth="1"/>
    <col min="8451" max="8452" width="0" style="75" hidden="1" customWidth="1"/>
    <col min="8453" max="8453" width="11.28515625" style="75" customWidth="1"/>
    <col min="8454" max="8469" width="5.7109375" style="75" customWidth="1"/>
    <col min="8470" max="8473" width="17.140625" style="75" customWidth="1"/>
    <col min="8474" max="8704" width="17.140625" style="75"/>
    <col min="8705" max="8705" width="8.5703125" style="75" customWidth="1"/>
    <col min="8706" max="8706" width="37.28515625" style="75" customWidth="1"/>
    <col min="8707" max="8708" width="0" style="75" hidden="1" customWidth="1"/>
    <col min="8709" max="8709" width="11.28515625" style="75" customWidth="1"/>
    <col min="8710" max="8725" width="5.7109375" style="75" customWidth="1"/>
    <col min="8726" max="8729" width="17.140625" style="75" customWidth="1"/>
    <col min="8730" max="8960" width="17.140625" style="75"/>
    <col min="8961" max="8961" width="8.5703125" style="75" customWidth="1"/>
    <col min="8962" max="8962" width="37.28515625" style="75" customWidth="1"/>
    <col min="8963" max="8964" width="0" style="75" hidden="1" customWidth="1"/>
    <col min="8965" max="8965" width="11.28515625" style="75" customWidth="1"/>
    <col min="8966" max="8981" width="5.7109375" style="75" customWidth="1"/>
    <col min="8982" max="8985" width="17.140625" style="75" customWidth="1"/>
    <col min="8986" max="9216" width="17.140625" style="75"/>
    <col min="9217" max="9217" width="8.5703125" style="75" customWidth="1"/>
    <col min="9218" max="9218" width="37.28515625" style="75" customWidth="1"/>
    <col min="9219" max="9220" width="0" style="75" hidden="1" customWidth="1"/>
    <col min="9221" max="9221" width="11.28515625" style="75" customWidth="1"/>
    <col min="9222" max="9237" width="5.7109375" style="75" customWidth="1"/>
    <col min="9238" max="9241" width="17.140625" style="75" customWidth="1"/>
    <col min="9242" max="9472" width="17.140625" style="75"/>
    <col min="9473" max="9473" width="8.5703125" style="75" customWidth="1"/>
    <col min="9474" max="9474" width="37.28515625" style="75" customWidth="1"/>
    <col min="9475" max="9476" width="0" style="75" hidden="1" customWidth="1"/>
    <col min="9477" max="9477" width="11.28515625" style="75" customWidth="1"/>
    <col min="9478" max="9493" width="5.7109375" style="75" customWidth="1"/>
    <col min="9494" max="9497" width="17.140625" style="75" customWidth="1"/>
    <col min="9498" max="9728" width="17.140625" style="75"/>
    <col min="9729" max="9729" width="8.5703125" style="75" customWidth="1"/>
    <col min="9730" max="9730" width="37.28515625" style="75" customWidth="1"/>
    <col min="9731" max="9732" width="0" style="75" hidden="1" customWidth="1"/>
    <col min="9733" max="9733" width="11.28515625" style="75" customWidth="1"/>
    <col min="9734" max="9749" width="5.7109375" style="75" customWidth="1"/>
    <col min="9750" max="9753" width="17.140625" style="75" customWidth="1"/>
    <col min="9754" max="9984" width="17.140625" style="75"/>
    <col min="9985" max="9985" width="8.5703125" style="75" customWidth="1"/>
    <col min="9986" max="9986" width="37.28515625" style="75" customWidth="1"/>
    <col min="9987" max="9988" width="0" style="75" hidden="1" customWidth="1"/>
    <col min="9989" max="9989" width="11.28515625" style="75" customWidth="1"/>
    <col min="9990" max="10005" width="5.7109375" style="75" customWidth="1"/>
    <col min="10006" max="10009" width="17.140625" style="75" customWidth="1"/>
    <col min="10010" max="10240" width="17.140625" style="75"/>
    <col min="10241" max="10241" width="8.5703125" style="75" customWidth="1"/>
    <col min="10242" max="10242" width="37.28515625" style="75" customWidth="1"/>
    <col min="10243" max="10244" width="0" style="75" hidden="1" customWidth="1"/>
    <col min="10245" max="10245" width="11.28515625" style="75" customWidth="1"/>
    <col min="10246" max="10261" width="5.7109375" style="75" customWidth="1"/>
    <col min="10262" max="10265" width="17.140625" style="75" customWidth="1"/>
    <col min="10266" max="10496" width="17.140625" style="75"/>
    <col min="10497" max="10497" width="8.5703125" style="75" customWidth="1"/>
    <col min="10498" max="10498" width="37.28515625" style="75" customWidth="1"/>
    <col min="10499" max="10500" width="0" style="75" hidden="1" customWidth="1"/>
    <col min="10501" max="10501" width="11.28515625" style="75" customWidth="1"/>
    <col min="10502" max="10517" width="5.7109375" style="75" customWidth="1"/>
    <col min="10518" max="10521" width="17.140625" style="75" customWidth="1"/>
    <col min="10522" max="10752" width="17.140625" style="75"/>
    <col min="10753" max="10753" width="8.5703125" style="75" customWidth="1"/>
    <col min="10754" max="10754" width="37.28515625" style="75" customWidth="1"/>
    <col min="10755" max="10756" width="0" style="75" hidden="1" customWidth="1"/>
    <col min="10757" max="10757" width="11.28515625" style="75" customWidth="1"/>
    <col min="10758" max="10773" width="5.7109375" style="75" customWidth="1"/>
    <col min="10774" max="10777" width="17.140625" style="75" customWidth="1"/>
    <col min="10778" max="11008" width="17.140625" style="75"/>
    <col min="11009" max="11009" width="8.5703125" style="75" customWidth="1"/>
    <col min="11010" max="11010" width="37.28515625" style="75" customWidth="1"/>
    <col min="11011" max="11012" width="0" style="75" hidden="1" customWidth="1"/>
    <col min="11013" max="11013" width="11.28515625" style="75" customWidth="1"/>
    <col min="11014" max="11029" width="5.7109375" style="75" customWidth="1"/>
    <col min="11030" max="11033" width="17.140625" style="75" customWidth="1"/>
    <col min="11034" max="11264" width="17.140625" style="75"/>
    <col min="11265" max="11265" width="8.5703125" style="75" customWidth="1"/>
    <col min="11266" max="11266" width="37.28515625" style="75" customWidth="1"/>
    <col min="11267" max="11268" width="0" style="75" hidden="1" customWidth="1"/>
    <col min="11269" max="11269" width="11.28515625" style="75" customWidth="1"/>
    <col min="11270" max="11285" width="5.7109375" style="75" customWidth="1"/>
    <col min="11286" max="11289" width="17.140625" style="75" customWidth="1"/>
    <col min="11290" max="11520" width="17.140625" style="75"/>
    <col min="11521" max="11521" width="8.5703125" style="75" customWidth="1"/>
    <col min="11522" max="11522" width="37.28515625" style="75" customWidth="1"/>
    <col min="11523" max="11524" width="0" style="75" hidden="1" customWidth="1"/>
    <col min="11525" max="11525" width="11.28515625" style="75" customWidth="1"/>
    <col min="11526" max="11541" width="5.7109375" style="75" customWidth="1"/>
    <col min="11542" max="11545" width="17.140625" style="75" customWidth="1"/>
    <col min="11546" max="11776" width="17.140625" style="75"/>
    <col min="11777" max="11777" width="8.5703125" style="75" customWidth="1"/>
    <col min="11778" max="11778" width="37.28515625" style="75" customWidth="1"/>
    <col min="11779" max="11780" width="0" style="75" hidden="1" customWidth="1"/>
    <col min="11781" max="11781" width="11.28515625" style="75" customWidth="1"/>
    <col min="11782" max="11797" width="5.7109375" style="75" customWidth="1"/>
    <col min="11798" max="11801" width="17.140625" style="75" customWidth="1"/>
    <col min="11802" max="12032" width="17.140625" style="75"/>
    <col min="12033" max="12033" width="8.5703125" style="75" customWidth="1"/>
    <col min="12034" max="12034" width="37.28515625" style="75" customWidth="1"/>
    <col min="12035" max="12036" width="0" style="75" hidden="1" customWidth="1"/>
    <col min="12037" max="12037" width="11.28515625" style="75" customWidth="1"/>
    <col min="12038" max="12053" width="5.7109375" style="75" customWidth="1"/>
    <col min="12054" max="12057" width="17.140625" style="75" customWidth="1"/>
    <col min="12058" max="12288" width="17.140625" style="75"/>
    <col min="12289" max="12289" width="8.5703125" style="75" customWidth="1"/>
    <col min="12290" max="12290" width="37.28515625" style="75" customWidth="1"/>
    <col min="12291" max="12292" width="0" style="75" hidden="1" customWidth="1"/>
    <col min="12293" max="12293" width="11.28515625" style="75" customWidth="1"/>
    <col min="12294" max="12309" width="5.7109375" style="75" customWidth="1"/>
    <col min="12310" max="12313" width="17.140625" style="75" customWidth="1"/>
    <col min="12314" max="12544" width="17.140625" style="75"/>
    <col min="12545" max="12545" width="8.5703125" style="75" customWidth="1"/>
    <col min="12546" max="12546" width="37.28515625" style="75" customWidth="1"/>
    <col min="12547" max="12548" width="0" style="75" hidden="1" customWidth="1"/>
    <col min="12549" max="12549" width="11.28515625" style="75" customWidth="1"/>
    <col min="12550" max="12565" width="5.7109375" style="75" customWidth="1"/>
    <col min="12566" max="12569" width="17.140625" style="75" customWidth="1"/>
    <col min="12570" max="12800" width="17.140625" style="75"/>
    <col min="12801" max="12801" width="8.5703125" style="75" customWidth="1"/>
    <col min="12802" max="12802" width="37.28515625" style="75" customWidth="1"/>
    <col min="12803" max="12804" width="0" style="75" hidden="1" customWidth="1"/>
    <col min="12805" max="12805" width="11.28515625" style="75" customWidth="1"/>
    <col min="12806" max="12821" width="5.7109375" style="75" customWidth="1"/>
    <col min="12822" max="12825" width="17.140625" style="75" customWidth="1"/>
    <col min="12826" max="13056" width="17.140625" style="75"/>
    <col min="13057" max="13057" width="8.5703125" style="75" customWidth="1"/>
    <col min="13058" max="13058" width="37.28515625" style="75" customWidth="1"/>
    <col min="13059" max="13060" width="0" style="75" hidden="1" customWidth="1"/>
    <col min="13061" max="13061" width="11.28515625" style="75" customWidth="1"/>
    <col min="13062" max="13077" width="5.7109375" style="75" customWidth="1"/>
    <col min="13078" max="13081" width="17.140625" style="75" customWidth="1"/>
    <col min="13082" max="13312" width="17.140625" style="75"/>
    <col min="13313" max="13313" width="8.5703125" style="75" customWidth="1"/>
    <col min="13314" max="13314" width="37.28515625" style="75" customWidth="1"/>
    <col min="13315" max="13316" width="0" style="75" hidden="1" customWidth="1"/>
    <col min="13317" max="13317" width="11.28515625" style="75" customWidth="1"/>
    <col min="13318" max="13333" width="5.7109375" style="75" customWidth="1"/>
    <col min="13334" max="13337" width="17.140625" style="75" customWidth="1"/>
    <col min="13338" max="13568" width="17.140625" style="75"/>
    <col min="13569" max="13569" width="8.5703125" style="75" customWidth="1"/>
    <col min="13570" max="13570" width="37.28515625" style="75" customWidth="1"/>
    <col min="13571" max="13572" width="0" style="75" hidden="1" customWidth="1"/>
    <col min="13573" max="13573" width="11.28515625" style="75" customWidth="1"/>
    <col min="13574" max="13589" width="5.7109375" style="75" customWidth="1"/>
    <col min="13590" max="13593" width="17.140625" style="75" customWidth="1"/>
    <col min="13594" max="13824" width="17.140625" style="75"/>
    <col min="13825" max="13825" width="8.5703125" style="75" customWidth="1"/>
    <col min="13826" max="13826" width="37.28515625" style="75" customWidth="1"/>
    <col min="13827" max="13828" width="0" style="75" hidden="1" customWidth="1"/>
    <col min="13829" max="13829" width="11.28515625" style="75" customWidth="1"/>
    <col min="13830" max="13845" width="5.7109375" style="75" customWidth="1"/>
    <col min="13846" max="13849" width="17.140625" style="75" customWidth="1"/>
    <col min="13850" max="14080" width="17.140625" style="75"/>
    <col min="14081" max="14081" width="8.5703125" style="75" customWidth="1"/>
    <col min="14082" max="14082" width="37.28515625" style="75" customWidth="1"/>
    <col min="14083" max="14084" width="0" style="75" hidden="1" customWidth="1"/>
    <col min="14085" max="14085" width="11.28515625" style="75" customWidth="1"/>
    <col min="14086" max="14101" width="5.7109375" style="75" customWidth="1"/>
    <col min="14102" max="14105" width="17.140625" style="75" customWidth="1"/>
    <col min="14106" max="14336" width="17.140625" style="75"/>
    <col min="14337" max="14337" width="8.5703125" style="75" customWidth="1"/>
    <col min="14338" max="14338" width="37.28515625" style="75" customWidth="1"/>
    <col min="14339" max="14340" width="0" style="75" hidden="1" customWidth="1"/>
    <col min="14341" max="14341" width="11.28515625" style="75" customWidth="1"/>
    <col min="14342" max="14357" width="5.7109375" style="75" customWidth="1"/>
    <col min="14358" max="14361" width="17.140625" style="75" customWidth="1"/>
    <col min="14362" max="14592" width="17.140625" style="75"/>
    <col min="14593" max="14593" width="8.5703125" style="75" customWidth="1"/>
    <col min="14594" max="14594" width="37.28515625" style="75" customWidth="1"/>
    <col min="14595" max="14596" width="0" style="75" hidden="1" customWidth="1"/>
    <col min="14597" max="14597" width="11.28515625" style="75" customWidth="1"/>
    <col min="14598" max="14613" width="5.7109375" style="75" customWidth="1"/>
    <col min="14614" max="14617" width="17.140625" style="75" customWidth="1"/>
    <col min="14618" max="14848" width="17.140625" style="75"/>
    <col min="14849" max="14849" width="8.5703125" style="75" customWidth="1"/>
    <col min="14850" max="14850" width="37.28515625" style="75" customWidth="1"/>
    <col min="14851" max="14852" width="0" style="75" hidden="1" customWidth="1"/>
    <col min="14853" max="14853" width="11.28515625" style="75" customWidth="1"/>
    <col min="14854" max="14869" width="5.7109375" style="75" customWidth="1"/>
    <col min="14870" max="14873" width="17.140625" style="75" customWidth="1"/>
    <col min="14874" max="15104" width="17.140625" style="75"/>
    <col min="15105" max="15105" width="8.5703125" style="75" customWidth="1"/>
    <col min="15106" max="15106" width="37.28515625" style="75" customWidth="1"/>
    <col min="15107" max="15108" width="0" style="75" hidden="1" customWidth="1"/>
    <col min="15109" max="15109" width="11.28515625" style="75" customWidth="1"/>
    <col min="15110" max="15125" width="5.7109375" style="75" customWidth="1"/>
    <col min="15126" max="15129" width="17.140625" style="75" customWidth="1"/>
    <col min="15130" max="15360" width="17.140625" style="75"/>
    <col min="15361" max="15361" width="8.5703125" style="75" customWidth="1"/>
    <col min="15362" max="15362" width="37.28515625" style="75" customWidth="1"/>
    <col min="15363" max="15364" width="0" style="75" hidden="1" customWidth="1"/>
    <col min="15365" max="15365" width="11.28515625" style="75" customWidth="1"/>
    <col min="15366" max="15381" width="5.7109375" style="75" customWidth="1"/>
    <col min="15382" max="15385" width="17.140625" style="75" customWidth="1"/>
    <col min="15386" max="15616" width="17.140625" style="75"/>
    <col min="15617" max="15617" width="8.5703125" style="75" customWidth="1"/>
    <col min="15618" max="15618" width="37.28515625" style="75" customWidth="1"/>
    <col min="15619" max="15620" width="0" style="75" hidden="1" customWidth="1"/>
    <col min="15621" max="15621" width="11.28515625" style="75" customWidth="1"/>
    <col min="15622" max="15637" width="5.7109375" style="75" customWidth="1"/>
    <col min="15638" max="15641" width="17.140625" style="75" customWidth="1"/>
    <col min="15642" max="15872" width="17.140625" style="75"/>
    <col min="15873" max="15873" width="8.5703125" style="75" customWidth="1"/>
    <col min="15874" max="15874" width="37.28515625" style="75" customWidth="1"/>
    <col min="15875" max="15876" width="0" style="75" hidden="1" customWidth="1"/>
    <col min="15877" max="15877" width="11.28515625" style="75" customWidth="1"/>
    <col min="15878" max="15893" width="5.7109375" style="75" customWidth="1"/>
    <col min="15894" max="15897" width="17.140625" style="75" customWidth="1"/>
    <col min="15898" max="16128" width="17.140625" style="75"/>
    <col min="16129" max="16129" width="8.5703125" style="75" customWidth="1"/>
    <col min="16130" max="16130" width="37.28515625" style="75" customWidth="1"/>
    <col min="16131" max="16132" width="0" style="75" hidden="1" customWidth="1"/>
    <col min="16133" max="16133" width="11.28515625" style="75" customWidth="1"/>
    <col min="16134" max="16149" width="5.7109375" style="75" customWidth="1"/>
    <col min="16150" max="16153" width="17.140625" style="75" customWidth="1"/>
    <col min="16154" max="16384" width="17.140625" style="75"/>
  </cols>
  <sheetData>
    <row r="1" spans="1:25" ht="45" x14ac:dyDescent="0.25">
      <c r="A1" s="329" t="s">
        <v>573</v>
      </c>
      <c r="B1" s="330"/>
      <c r="C1" s="77" t="s">
        <v>432</v>
      </c>
      <c r="D1" s="78" t="s">
        <v>433</v>
      </c>
      <c r="E1" s="78" t="s">
        <v>434</v>
      </c>
      <c r="F1" s="74" t="s">
        <v>435</v>
      </c>
      <c r="G1" s="74" t="s">
        <v>436</v>
      </c>
      <c r="H1" s="74" t="s">
        <v>437</v>
      </c>
      <c r="I1" s="74" t="s">
        <v>438</v>
      </c>
      <c r="J1" s="74" t="s">
        <v>439</v>
      </c>
      <c r="K1" s="74" t="s">
        <v>440</v>
      </c>
      <c r="L1" s="74" t="s">
        <v>441</v>
      </c>
      <c r="M1" s="74" t="s">
        <v>442</v>
      </c>
      <c r="N1" s="74" t="s">
        <v>443</v>
      </c>
      <c r="O1" s="74" t="s">
        <v>444</v>
      </c>
      <c r="P1" s="74" t="s">
        <v>445</v>
      </c>
      <c r="Q1" s="74" t="s">
        <v>446</v>
      </c>
      <c r="R1" s="74" t="s">
        <v>447</v>
      </c>
      <c r="S1" s="74" t="s">
        <v>448</v>
      </c>
      <c r="T1" s="74" t="s">
        <v>449</v>
      </c>
      <c r="U1" s="74" t="s">
        <v>450</v>
      </c>
      <c r="V1" s="72"/>
      <c r="W1" s="72"/>
      <c r="X1" s="72"/>
      <c r="Y1" s="73"/>
    </row>
    <row r="2" spans="1:25" ht="15" x14ac:dyDescent="0.2">
      <c r="A2" s="327" t="s">
        <v>451</v>
      </c>
      <c r="B2" s="327"/>
      <c r="C2" s="79"/>
      <c r="D2" s="80"/>
      <c r="E2" s="80"/>
      <c r="F2" s="95"/>
      <c r="G2" s="95"/>
      <c r="H2" s="95"/>
      <c r="I2" s="81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5" ht="15" hidden="1" customHeight="1" outlineLevel="1" x14ac:dyDescent="0.2">
      <c r="A3" s="82"/>
      <c r="B3" s="82" t="s">
        <v>452</v>
      </c>
      <c r="C3" s="83" t="s">
        <v>453</v>
      </c>
      <c r="D3" s="80" t="s">
        <v>454</v>
      </c>
      <c r="E3" s="80">
        <v>6</v>
      </c>
      <c r="F3" s="98"/>
      <c r="G3" s="81"/>
      <c r="H3" s="81"/>
      <c r="I3" s="81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</row>
    <row r="4" spans="1:25" ht="15" hidden="1" customHeight="1" outlineLevel="1" x14ac:dyDescent="0.2">
      <c r="A4" s="82"/>
      <c r="B4" s="82" t="s">
        <v>455</v>
      </c>
      <c r="C4" s="83" t="s">
        <v>453</v>
      </c>
      <c r="D4" s="80" t="s">
        <v>454</v>
      </c>
      <c r="E4" s="80">
        <v>3</v>
      </c>
      <c r="F4" s="98"/>
      <c r="G4" s="81"/>
      <c r="H4" s="81"/>
      <c r="I4" s="81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</row>
    <row r="5" spans="1:25" ht="15" hidden="1" customHeight="1" outlineLevel="1" x14ac:dyDescent="0.2">
      <c r="A5" s="82"/>
      <c r="B5" s="82" t="s">
        <v>456</v>
      </c>
      <c r="C5" s="83" t="s">
        <v>457</v>
      </c>
      <c r="D5" s="80" t="s">
        <v>458</v>
      </c>
      <c r="E5" s="80">
        <v>3</v>
      </c>
      <c r="F5" s="98"/>
      <c r="G5" s="81"/>
      <c r="H5" s="81"/>
      <c r="I5" s="81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1:25" ht="15" hidden="1" customHeight="1" outlineLevel="1" x14ac:dyDescent="0.2">
      <c r="A6" s="82"/>
      <c r="B6" s="82" t="s">
        <v>459</v>
      </c>
      <c r="C6" s="83" t="s">
        <v>460</v>
      </c>
      <c r="D6" s="80" t="s">
        <v>461</v>
      </c>
      <c r="E6" s="80">
        <v>6</v>
      </c>
      <c r="F6" s="98"/>
      <c r="G6" s="81"/>
      <c r="H6" s="81"/>
      <c r="I6" s="81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</row>
    <row r="7" spans="1:25" ht="15" hidden="1" customHeight="1" outlineLevel="1" x14ac:dyDescent="0.2">
      <c r="A7" s="82"/>
      <c r="B7" s="82" t="s">
        <v>462</v>
      </c>
      <c r="C7" s="83" t="s">
        <v>457</v>
      </c>
      <c r="D7" s="80" t="s">
        <v>458</v>
      </c>
      <c r="E7" s="80">
        <v>3</v>
      </c>
      <c r="F7" s="79"/>
      <c r="G7" s="98"/>
      <c r="H7" s="81"/>
      <c r="I7" s="81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</row>
    <row r="8" spans="1:25" ht="15" hidden="1" customHeight="1" outlineLevel="1" x14ac:dyDescent="0.2">
      <c r="A8" s="82"/>
      <c r="B8" s="82" t="s">
        <v>463</v>
      </c>
      <c r="C8" s="83" t="s">
        <v>457</v>
      </c>
      <c r="D8" s="80" t="s">
        <v>458</v>
      </c>
      <c r="E8" s="80">
        <v>3</v>
      </c>
      <c r="F8" s="79"/>
      <c r="G8" s="98"/>
      <c r="H8" s="81"/>
      <c r="I8" s="81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</row>
    <row r="9" spans="1:25" ht="15" hidden="1" customHeight="1" outlineLevel="1" x14ac:dyDescent="0.2">
      <c r="A9" s="82"/>
      <c r="B9" s="82" t="s">
        <v>464</v>
      </c>
      <c r="C9" s="83" t="s">
        <v>460</v>
      </c>
      <c r="D9" s="80" t="s">
        <v>461</v>
      </c>
      <c r="E9" s="80">
        <v>3</v>
      </c>
      <c r="F9" s="79"/>
      <c r="G9" s="98"/>
      <c r="H9" s="81"/>
      <c r="I9" s="81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</row>
    <row r="10" spans="1:25" ht="15" hidden="1" customHeight="1" outlineLevel="1" x14ac:dyDescent="0.2">
      <c r="A10" s="82"/>
      <c r="B10" s="82" t="s">
        <v>465</v>
      </c>
      <c r="C10" s="83" t="s">
        <v>453</v>
      </c>
      <c r="D10" s="80" t="s">
        <v>458</v>
      </c>
      <c r="E10" s="80">
        <v>3</v>
      </c>
      <c r="F10" s="79"/>
      <c r="G10" s="79"/>
      <c r="H10" s="98"/>
      <c r="I10" s="81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</row>
    <row r="11" spans="1:25" ht="15" hidden="1" customHeight="1" outlineLevel="1" x14ac:dyDescent="0.2">
      <c r="A11" s="82"/>
      <c r="B11" s="82" t="s">
        <v>466</v>
      </c>
      <c r="C11" s="83" t="s">
        <v>467</v>
      </c>
      <c r="D11" s="80" t="s">
        <v>461</v>
      </c>
      <c r="E11" s="80">
        <v>3</v>
      </c>
      <c r="F11" s="79"/>
      <c r="G11" s="79"/>
      <c r="H11" s="98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</row>
    <row r="12" spans="1:25" ht="15" collapsed="1" x14ac:dyDescent="0.2">
      <c r="A12" s="327" t="s">
        <v>468</v>
      </c>
      <c r="B12" s="327"/>
      <c r="C12" s="83"/>
      <c r="D12" s="80"/>
      <c r="E12" s="80"/>
      <c r="F12" s="79"/>
      <c r="G12" s="79"/>
      <c r="H12" s="79"/>
      <c r="I12" s="95"/>
      <c r="J12" s="95"/>
      <c r="K12" s="95"/>
      <c r="L12" s="95"/>
      <c r="M12" s="95"/>
      <c r="N12" s="79"/>
      <c r="O12" s="79"/>
      <c r="P12" s="79"/>
      <c r="Q12" s="79"/>
      <c r="R12" s="79"/>
      <c r="S12" s="79"/>
      <c r="T12" s="79"/>
      <c r="U12" s="79"/>
    </row>
    <row r="13" spans="1:25" ht="15" hidden="1" outlineLevel="2" x14ac:dyDescent="0.2">
      <c r="A13" s="82"/>
      <c r="B13" s="82" t="s">
        <v>469</v>
      </c>
      <c r="C13" s="83" t="s">
        <v>453</v>
      </c>
      <c r="D13" s="80" t="s">
        <v>458</v>
      </c>
      <c r="E13" s="80">
        <v>6</v>
      </c>
      <c r="F13" s="79"/>
      <c r="G13" s="79"/>
      <c r="H13" s="79"/>
      <c r="I13" s="98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</row>
    <row r="14" spans="1:25" ht="15" hidden="1" outlineLevel="2" x14ac:dyDescent="0.2">
      <c r="A14" s="82"/>
      <c r="B14" s="82" t="s">
        <v>470</v>
      </c>
      <c r="C14" s="83" t="s">
        <v>453</v>
      </c>
      <c r="D14" s="80" t="s">
        <v>458</v>
      </c>
      <c r="E14" s="80">
        <v>6</v>
      </c>
      <c r="F14" s="79"/>
      <c r="G14" s="79"/>
      <c r="H14" s="79"/>
      <c r="I14" s="98"/>
      <c r="J14" s="98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</row>
    <row r="15" spans="1:25" ht="15" hidden="1" outlineLevel="2" x14ac:dyDescent="0.2">
      <c r="A15" s="82"/>
      <c r="B15" s="82" t="s">
        <v>471</v>
      </c>
      <c r="C15" s="83" t="s">
        <v>453</v>
      </c>
      <c r="D15" s="80" t="s">
        <v>458</v>
      </c>
      <c r="E15" s="80">
        <v>6</v>
      </c>
      <c r="F15" s="79"/>
      <c r="G15" s="79"/>
      <c r="H15" s="79"/>
      <c r="I15" s="98"/>
      <c r="J15" s="98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</row>
    <row r="16" spans="1:25" ht="15" hidden="1" outlineLevel="2" x14ac:dyDescent="0.2">
      <c r="A16" s="82"/>
      <c r="B16" s="82" t="s">
        <v>472</v>
      </c>
      <c r="C16" s="83" t="s">
        <v>453</v>
      </c>
      <c r="D16" s="80" t="s">
        <v>458</v>
      </c>
      <c r="E16" s="80">
        <v>6</v>
      </c>
      <c r="F16" s="79"/>
      <c r="G16" s="79"/>
      <c r="H16" s="79"/>
      <c r="I16" s="98"/>
      <c r="J16" s="98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</row>
    <row r="17" spans="1:21" ht="15" hidden="1" outlineLevel="2" x14ac:dyDescent="0.2">
      <c r="A17" s="82"/>
      <c r="B17" s="82" t="s">
        <v>473</v>
      </c>
      <c r="C17" s="83" t="s">
        <v>453</v>
      </c>
      <c r="D17" s="80" t="s">
        <v>458</v>
      </c>
      <c r="E17" s="80">
        <v>3</v>
      </c>
      <c r="F17" s="79"/>
      <c r="G17" s="79"/>
      <c r="H17" s="79"/>
      <c r="I17" s="79"/>
      <c r="J17" s="79"/>
      <c r="K17" s="100"/>
      <c r="L17" s="100"/>
      <c r="M17" s="79"/>
      <c r="N17" s="79"/>
      <c r="O17" s="79"/>
      <c r="P17" s="79"/>
      <c r="Q17" s="79"/>
      <c r="R17" s="79"/>
      <c r="S17" s="79"/>
      <c r="T17" s="79"/>
      <c r="U17" s="79"/>
    </row>
    <row r="18" spans="1:21" ht="15" hidden="1" outlineLevel="2" x14ac:dyDescent="0.2">
      <c r="A18" s="82"/>
      <c r="B18" s="82" t="s">
        <v>474</v>
      </c>
      <c r="C18" s="83" t="s">
        <v>453</v>
      </c>
      <c r="D18" s="80" t="s">
        <v>458</v>
      </c>
      <c r="E18" s="80">
        <v>3</v>
      </c>
      <c r="F18" s="79"/>
      <c r="G18" s="79"/>
      <c r="H18" s="79"/>
      <c r="I18" s="79"/>
      <c r="J18" s="79"/>
      <c r="K18" s="100"/>
      <c r="L18" s="100"/>
      <c r="M18" s="79"/>
      <c r="N18" s="79"/>
      <c r="O18" s="79"/>
      <c r="P18" s="79"/>
      <c r="Q18" s="79"/>
      <c r="R18" s="79"/>
      <c r="S18" s="79"/>
      <c r="T18" s="79"/>
      <c r="U18" s="79"/>
    </row>
    <row r="19" spans="1:21" ht="15" hidden="1" outlineLevel="2" x14ac:dyDescent="0.2">
      <c r="A19" s="82"/>
      <c r="B19" s="82" t="s">
        <v>475</v>
      </c>
      <c r="C19" s="83" t="s">
        <v>453</v>
      </c>
      <c r="D19" s="80" t="s">
        <v>458</v>
      </c>
      <c r="E19" s="80">
        <v>3</v>
      </c>
      <c r="F19" s="79"/>
      <c r="G19" s="79"/>
      <c r="H19" s="79"/>
      <c r="I19" s="79"/>
      <c r="J19" s="79"/>
      <c r="K19" s="79"/>
      <c r="L19" s="79"/>
      <c r="M19" s="100"/>
      <c r="N19" s="79"/>
      <c r="O19" s="81"/>
      <c r="P19" s="79"/>
      <c r="Q19" s="79"/>
      <c r="R19" s="79"/>
      <c r="S19" s="79"/>
      <c r="T19" s="79"/>
      <c r="U19" s="79"/>
    </row>
    <row r="20" spans="1:21" ht="15" hidden="1" outlineLevel="2" x14ac:dyDescent="0.2">
      <c r="A20" s="82"/>
      <c r="B20" s="82" t="s">
        <v>476</v>
      </c>
      <c r="C20" s="83" t="s">
        <v>453</v>
      </c>
      <c r="D20" s="80" t="s">
        <v>458</v>
      </c>
      <c r="E20" s="80">
        <v>2</v>
      </c>
      <c r="F20" s="79"/>
      <c r="G20" s="79"/>
      <c r="H20" s="79"/>
      <c r="I20" s="79"/>
      <c r="J20" s="79"/>
      <c r="K20" s="79"/>
      <c r="L20" s="79"/>
      <c r="M20" s="100"/>
      <c r="N20" s="79"/>
      <c r="O20" s="81"/>
      <c r="P20" s="79"/>
      <c r="Q20" s="79"/>
      <c r="R20" s="79"/>
      <c r="S20" s="79"/>
      <c r="T20" s="79"/>
      <c r="U20" s="79"/>
    </row>
    <row r="21" spans="1:21" ht="15" collapsed="1" x14ac:dyDescent="0.2">
      <c r="A21" s="327" t="s">
        <v>477</v>
      </c>
      <c r="B21" s="327"/>
      <c r="C21" s="83"/>
      <c r="D21" s="80"/>
      <c r="E21" s="80"/>
      <c r="F21" s="79"/>
      <c r="G21" s="79"/>
      <c r="H21" s="79"/>
      <c r="I21" s="79"/>
      <c r="J21" s="79"/>
      <c r="K21" s="97"/>
      <c r="L21" s="97"/>
      <c r="M21" s="97"/>
      <c r="N21" s="79"/>
      <c r="O21" s="81"/>
      <c r="P21" s="81"/>
      <c r="Q21" s="81"/>
      <c r="R21" s="79"/>
      <c r="S21" s="79"/>
      <c r="T21" s="79"/>
      <c r="U21" s="79"/>
    </row>
    <row r="22" spans="1:21" ht="15" hidden="1" outlineLevel="1" x14ac:dyDescent="0.2">
      <c r="A22" s="82"/>
      <c r="B22" s="82" t="s">
        <v>469</v>
      </c>
      <c r="C22" s="83" t="s">
        <v>457</v>
      </c>
      <c r="D22" s="80" t="s">
        <v>458</v>
      </c>
      <c r="E22" s="80">
        <v>6</v>
      </c>
      <c r="F22" s="79"/>
      <c r="G22" s="79"/>
      <c r="H22" s="79"/>
      <c r="I22" s="79"/>
      <c r="J22" s="79"/>
      <c r="K22" s="98"/>
      <c r="L22" s="79"/>
      <c r="M22" s="79"/>
      <c r="N22" s="79"/>
      <c r="O22" s="81"/>
      <c r="P22" s="81"/>
      <c r="Q22" s="81"/>
      <c r="R22" s="79"/>
      <c r="S22" s="79"/>
      <c r="T22" s="79"/>
      <c r="U22" s="79"/>
    </row>
    <row r="23" spans="1:21" ht="15" hidden="1" outlineLevel="1" x14ac:dyDescent="0.2">
      <c r="A23" s="82"/>
      <c r="B23" s="82" t="s">
        <v>478</v>
      </c>
      <c r="C23" s="83" t="s">
        <v>457</v>
      </c>
      <c r="D23" s="80" t="s">
        <v>458</v>
      </c>
      <c r="E23" s="80">
        <v>20</v>
      </c>
      <c r="F23" s="79"/>
      <c r="G23" s="79"/>
      <c r="H23" s="79"/>
      <c r="I23" s="79"/>
      <c r="J23" s="79"/>
      <c r="K23" s="79"/>
      <c r="L23" s="98"/>
      <c r="M23" s="98"/>
      <c r="N23" s="79"/>
      <c r="O23" s="81"/>
      <c r="P23" s="81"/>
      <c r="Q23" s="81"/>
      <c r="R23" s="79"/>
      <c r="S23" s="79"/>
      <c r="T23" s="79"/>
      <c r="U23" s="79"/>
    </row>
    <row r="24" spans="1:21" ht="15" hidden="1" outlineLevel="1" x14ac:dyDescent="0.2">
      <c r="A24" s="82"/>
      <c r="B24" s="82" t="s">
        <v>479</v>
      </c>
      <c r="C24" s="83" t="s">
        <v>457</v>
      </c>
      <c r="D24" s="80" t="s">
        <v>458</v>
      </c>
      <c r="E24" s="80">
        <v>4</v>
      </c>
      <c r="F24" s="79"/>
      <c r="G24" s="79"/>
      <c r="H24" s="79"/>
      <c r="I24" s="79"/>
      <c r="J24" s="79"/>
      <c r="K24" s="79"/>
      <c r="L24" s="79"/>
      <c r="M24" s="98"/>
      <c r="N24" s="79"/>
      <c r="O24" s="81"/>
      <c r="P24" s="81"/>
      <c r="Q24" s="81"/>
      <c r="R24" s="79"/>
      <c r="S24" s="79"/>
      <c r="T24" s="79"/>
      <c r="U24" s="79"/>
    </row>
    <row r="25" spans="1:21" ht="15" hidden="1" outlineLevel="1" x14ac:dyDescent="0.2">
      <c r="A25" s="82"/>
      <c r="B25" s="82" t="s">
        <v>480</v>
      </c>
      <c r="C25" s="83" t="s">
        <v>457</v>
      </c>
      <c r="D25" s="80" t="s">
        <v>458</v>
      </c>
      <c r="E25" s="80">
        <v>2</v>
      </c>
      <c r="F25" s="79"/>
      <c r="G25" s="79"/>
      <c r="H25" s="79"/>
      <c r="I25" s="79"/>
      <c r="J25" s="79"/>
      <c r="K25" s="79"/>
      <c r="L25" s="79"/>
      <c r="M25" s="100"/>
      <c r="N25" s="79"/>
      <c r="O25" s="79"/>
      <c r="P25" s="79"/>
      <c r="Q25" s="79"/>
      <c r="R25" s="79"/>
      <c r="S25" s="79"/>
      <c r="T25" s="79"/>
      <c r="U25" s="79"/>
    </row>
    <row r="26" spans="1:21" ht="15" collapsed="1" x14ac:dyDescent="0.2">
      <c r="A26" s="327" t="s">
        <v>481</v>
      </c>
      <c r="B26" s="327"/>
      <c r="C26" s="83"/>
      <c r="D26" s="80"/>
      <c r="E26" s="80"/>
      <c r="F26" s="79"/>
      <c r="G26" s="79"/>
      <c r="H26" s="79"/>
      <c r="I26" s="79"/>
      <c r="J26" s="79"/>
      <c r="K26" s="79"/>
      <c r="L26" s="79"/>
      <c r="M26" s="95"/>
      <c r="N26" s="95"/>
      <c r="O26" s="95"/>
      <c r="P26" s="95"/>
      <c r="Q26" s="95"/>
      <c r="R26" s="79"/>
      <c r="S26" s="79"/>
      <c r="T26" s="79"/>
      <c r="U26" s="79"/>
    </row>
    <row r="27" spans="1:21" ht="15" hidden="1" outlineLevel="1" x14ac:dyDescent="0.2">
      <c r="A27" s="82"/>
      <c r="B27" s="82" t="s">
        <v>482</v>
      </c>
      <c r="C27" s="83" t="s">
        <v>453</v>
      </c>
      <c r="D27" s="80" t="s">
        <v>458</v>
      </c>
      <c r="E27" s="80">
        <v>9</v>
      </c>
      <c r="F27" s="79"/>
      <c r="G27" s="79"/>
      <c r="H27" s="79"/>
      <c r="I27" s="79"/>
      <c r="J27" s="79"/>
      <c r="K27" s="79"/>
      <c r="L27" s="79"/>
      <c r="M27" s="98"/>
      <c r="N27" s="98"/>
      <c r="O27" s="98"/>
      <c r="P27" s="79"/>
      <c r="Q27" s="79"/>
      <c r="R27" s="79"/>
      <c r="S27" s="79"/>
      <c r="T27" s="79"/>
      <c r="U27" s="79"/>
    </row>
    <row r="28" spans="1:21" ht="15" hidden="1" outlineLevel="1" x14ac:dyDescent="0.2">
      <c r="A28" s="82"/>
      <c r="B28" s="82" t="s">
        <v>483</v>
      </c>
      <c r="C28" s="83" t="s">
        <v>453</v>
      </c>
      <c r="D28" s="80" t="s">
        <v>458</v>
      </c>
      <c r="E28" s="80">
        <v>40</v>
      </c>
      <c r="F28" s="79"/>
      <c r="G28" s="79"/>
      <c r="H28" s="79"/>
      <c r="I28" s="79"/>
      <c r="J28" s="79"/>
      <c r="K28" s="79"/>
      <c r="L28" s="79"/>
      <c r="M28" s="79"/>
      <c r="N28" s="98"/>
      <c r="O28" s="98"/>
      <c r="P28" s="79"/>
      <c r="Q28" s="79"/>
      <c r="R28" s="79"/>
      <c r="S28" s="79"/>
      <c r="T28" s="79"/>
      <c r="U28" s="79"/>
    </row>
    <row r="29" spans="1:21" ht="15" hidden="1" outlineLevel="1" x14ac:dyDescent="0.2">
      <c r="A29" s="82"/>
      <c r="B29" s="82" t="s">
        <v>483</v>
      </c>
      <c r="C29" s="83" t="s">
        <v>453</v>
      </c>
      <c r="D29" s="80" t="s">
        <v>458</v>
      </c>
      <c r="E29" s="80">
        <v>40</v>
      </c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98"/>
      <c r="Q29" s="98"/>
      <c r="R29" s="79"/>
      <c r="S29" s="79"/>
      <c r="T29" s="79"/>
      <c r="U29" s="79"/>
    </row>
    <row r="30" spans="1:21" ht="15" hidden="1" outlineLevel="1" x14ac:dyDescent="0.2">
      <c r="A30" s="82"/>
      <c r="B30" s="82" t="s">
        <v>484</v>
      </c>
      <c r="C30" s="83" t="s">
        <v>453</v>
      </c>
      <c r="D30" s="80" t="s">
        <v>458</v>
      </c>
      <c r="E30" s="80">
        <v>40</v>
      </c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98"/>
      <c r="R30" s="79"/>
      <c r="S30" s="79"/>
      <c r="T30" s="79"/>
      <c r="U30" s="79"/>
    </row>
    <row r="31" spans="1:21" ht="15" collapsed="1" x14ac:dyDescent="0.2">
      <c r="A31" s="327" t="s">
        <v>485</v>
      </c>
      <c r="B31" s="327"/>
      <c r="C31" s="83"/>
      <c r="D31" s="80"/>
      <c r="E31" s="80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95"/>
      <c r="Q31" s="95"/>
      <c r="R31" s="95"/>
      <c r="S31" s="81"/>
      <c r="T31" s="81"/>
      <c r="U31" s="81"/>
    </row>
    <row r="32" spans="1:21" ht="15" hidden="1" outlineLevel="1" x14ac:dyDescent="0.2">
      <c r="A32" s="82"/>
      <c r="B32" s="82" t="s">
        <v>486</v>
      </c>
      <c r="C32" s="83" t="s">
        <v>457</v>
      </c>
      <c r="D32" s="80" t="s">
        <v>458</v>
      </c>
      <c r="E32" s="80">
        <v>4</v>
      </c>
      <c r="F32" s="79"/>
      <c r="G32" s="79"/>
      <c r="H32" s="79"/>
      <c r="I32" s="79"/>
      <c r="J32" s="79"/>
      <c r="K32" s="79"/>
      <c r="L32" s="79"/>
      <c r="M32" s="79"/>
      <c r="N32" s="79"/>
      <c r="O32" s="81"/>
      <c r="P32" s="98"/>
      <c r="Q32" s="79"/>
      <c r="R32" s="79"/>
      <c r="S32" s="79"/>
      <c r="T32" s="81"/>
      <c r="U32" s="81"/>
    </row>
    <row r="33" spans="1:21" ht="15" hidden="1" outlineLevel="1" x14ac:dyDescent="0.2">
      <c r="A33" s="82"/>
      <c r="B33" s="82" t="s">
        <v>487</v>
      </c>
      <c r="C33" s="83" t="s">
        <v>457</v>
      </c>
      <c r="D33" s="80" t="s">
        <v>458</v>
      </c>
      <c r="E33" s="80">
        <v>6</v>
      </c>
      <c r="F33" s="79"/>
      <c r="G33" s="79"/>
      <c r="H33" s="79"/>
      <c r="I33" s="79"/>
      <c r="J33" s="79"/>
      <c r="K33" s="79"/>
      <c r="L33" s="79"/>
      <c r="M33" s="79"/>
      <c r="N33" s="79"/>
      <c r="O33" s="81"/>
      <c r="P33" s="98"/>
      <c r="Q33" s="98"/>
      <c r="R33" s="81"/>
      <c r="S33" s="81"/>
      <c r="T33" s="81"/>
      <c r="U33" s="81"/>
    </row>
    <row r="34" spans="1:21" ht="15" hidden="1" outlineLevel="1" x14ac:dyDescent="0.2">
      <c r="A34" s="82"/>
      <c r="B34" s="82" t="s">
        <v>488</v>
      </c>
      <c r="C34" s="83" t="s">
        <v>457</v>
      </c>
      <c r="D34" s="80" t="s">
        <v>458</v>
      </c>
      <c r="E34" s="80" t="s">
        <v>489</v>
      </c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98"/>
      <c r="R34" s="79"/>
      <c r="S34" s="79"/>
      <c r="T34" s="79"/>
      <c r="U34" s="79"/>
    </row>
    <row r="35" spans="1:21" ht="15" hidden="1" outlineLevel="1" x14ac:dyDescent="0.2">
      <c r="A35" s="82"/>
      <c r="B35" s="82" t="s">
        <v>490</v>
      </c>
      <c r="C35" s="83" t="s">
        <v>457</v>
      </c>
      <c r="D35" s="80" t="s">
        <v>458</v>
      </c>
      <c r="E35" s="80">
        <v>6</v>
      </c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1"/>
      <c r="R35" s="98"/>
      <c r="S35" s="79"/>
      <c r="T35" s="79"/>
      <c r="U35" s="79"/>
    </row>
    <row r="36" spans="1:21" ht="15" collapsed="1" x14ac:dyDescent="0.2">
      <c r="A36" s="327" t="s">
        <v>491</v>
      </c>
      <c r="B36" s="327"/>
      <c r="C36" s="83"/>
      <c r="D36" s="80"/>
      <c r="E36" s="80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81"/>
      <c r="S36" s="95"/>
      <c r="T36" s="95"/>
      <c r="U36" s="79"/>
    </row>
    <row r="37" spans="1:21" ht="15" collapsed="1" x14ac:dyDescent="0.2">
      <c r="A37" s="327" t="s">
        <v>492</v>
      </c>
      <c r="B37" s="327"/>
      <c r="C37" s="83"/>
      <c r="D37" s="80"/>
      <c r="E37" s="80"/>
      <c r="F37" s="79"/>
      <c r="G37" s="79"/>
      <c r="H37" s="79"/>
      <c r="I37" s="79"/>
      <c r="J37" s="79"/>
      <c r="K37" s="95"/>
      <c r="L37" s="95"/>
      <c r="M37" s="95"/>
      <c r="N37" s="95"/>
      <c r="O37" s="95"/>
      <c r="P37" s="95"/>
      <c r="Q37" s="95"/>
      <c r="R37" s="81"/>
      <c r="S37" s="81"/>
      <c r="T37" s="81"/>
      <c r="U37" s="81"/>
    </row>
    <row r="38" spans="1:21" ht="15" hidden="1" outlineLevel="1" x14ac:dyDescent="0.2">
      <c r="A38" s="82"/>
      <c r="B38" s="82" t="s">
        <v>493</v>
      </c>
      <c r="C38" s="83" t="s">
        <v>494</v>
      </c>
      <c r="D38" s="80" t="s">
        <v>495</v>
      </c>
      <c r="E38" s="80">
        <v>4</v>
      </c>
      <c r="F38" s="79"/>
      <c r="G38" s="79"/>
      <c r="H38" s="79"/>
      <c r="I38" s="79"/>
      <c r="J38" s="79"/>
      <c r="K38" s="98"/>
      <c r="L38" s="79"/>
      <c r="M38" s="79"/>
      <c r="N38" s="81"/>
      <c r="O38" s="81"/>
      <c r="P38" s="98"/>
      <c r="Q38" s="79"/>
      <c r="R38" s="81"/>
      <c r="S38" s="81"/>
      <c r="T38" s="81"/>
      <c r="U38" s="81"/>
    </row>
    <row r="39" spans="1:21" ht="15" hidden="1" outlineLevel="1" x14ac:dyDescent="0.2">
      <c r="A39" s="82"/>
      <c r="B39" s="82" t="s">
        <v>496</v>
      </c>
      <c r="C39" s="83"/>
      <c r="D39" s="80"/>
      <c r="E39" s="80"/>
      <c r="F39" s="79"/>
      <c r="G39" s="79"/>
      <c r="H39" s="79"/>
      <c r="I39" s="79"/>
      <c r="J39" s="79"/>
      <c r="K39" s="79"/>
      <c r="L39" s="79"/>
      <c r="M39" s="79"/>
      <c r="N39" s="81"/>
      <c r="O39" s="81"/>
      <c r="P39" s="79"/>
      <c r="Q39" s="79"/>
      <c r="R39" s="81"/>
      <c r="S39" s="81"/>
      <c r="T39" s="81"/>
      <c r="U39" s="81"/>
    </row>
    <row r="40" spans="1:21" ht="15" hidden="1" outlineLevel="1" x14ac:dyDescent="0.2">
      <c r="A40" s="82"/>
      <c r="B40" s="82" t="s">
        <v>497</v>
      </c>
      <c r="C40" s="83" t="s">
        <v>494</v>
      </c>
      <c r="D40" s="80" t="s">
        <v>495</v>
      </c>
      <c r="E40" s="80">
        <v>4</v>
      </c>
      <c r="F40" s="79"/>
      <c r="G40" s="79"/>
      <c r="H40" s="79"/>
      <c r="I40" s="79"/>
      <c r="J40" s="79"/>
      <c r="K40" s="79"/>
      <c r="L40" s="98"/>
      <c r="M40" s="98"/>
      <c r="N40" s="81"/>
      <c r="O40" s="81"/>
      <c r="P40" s="79"/>
      <c r="Q40" s="98"/>
      <c r="R40" s="81"/>
      <c r="S40" s="81"/>
      <c r="T40" s="81"/>
      <c r="U40" s="81"/>
    </row>
    <row r="41" spans="1:21" ht="15" hidden="1" outlineLevel="1" x14ac:dyDescent="0.2">
      <c r="A41" s="82"/>
      <c r="B41" s="82" t="s">
        <v>498</v>
      </c>
      <c r="C41" s="83" t="s">
        <v>494</v>
      </c>
      <c r="D41" s="80" t="s">
        <v>495</v>
      </c>
      <c r="E41" s="80">
        <v>2</v>
      </c>
      <c r="F41" s="79"/>
      <c r="G41" s="79"/>
      <c r="H41" s="79"/>
      <c r="I41" s="79"/>
      <c r="J41" s="79"/>
      <c r="K41" s="79"/>
      <c r="L41" s="79"/>
      <c r="M41" s="98"/>
      <c r="N41" s="81"/>
      <c r="O41" s="81"/>
      <c r="P41" s="79"/>
      <c r="Q41" s="79"/>
      <c r="R41" s="81"/>
      <c r="S41" s="81"/>
      <c r="T41" s="81"/>
      <c r="U41" s="81"/>
    </row>
    <row r="42" spans="1:21" ht="15" hidden="1" outlineLevel="1" x14ac:dyDescent="0.2">
      <c r="A42" s="82"/>
      <c r="B42" s="82" t="s">
        <v>499</v>
      </c>
      <c r="C42" s="83" t="s">
        <v>494</v>
      </c>
      <c r="D42" s="80" t="s">
        <v>495</v>
      </c>
      <c r="E42" s="80">
        <v>1</v>
      </c>
      <c r="F42" s="79"/>
      <c r="G42" s="79"/>
      <c r="H42" s="79"/>
      <c r="I42" s="79"/>
      <c r="J42" s="79"/>
      <c r="K42" s="79"/>
      <c r="L42" s="79"/>
      <c r="M42" s="98"/>
      <c r="N42" s="81"/>
      <c r="O42" s="81"/>
      <c r="P42" s="79"/>
      <c r="Q42" s="79"/>
      <c r="R42" s="81"/>
      <c r="S42" s="81"/>
      <c r="T42" s="81"/>
      <c r="U42" s="81"/>
    </row>
    <row r="43" spans="1:21" ht="15" hidden="1" outlineLevel="1" x14ac:dyDescent="0.2">
      <c r="A43" s="82"/>
      <c r="B43" s="82" t="s">
        <v>500</v>
      </c>
      <c r="C43" s="83" t="s">
        <v>494</v>
      </c>
      <c r="D43" s="80" t="s">
        <v>495</v>
      </c>
      <c r="E43" s="80">
        <v>3</v>
      </c>
      <c r="F43" s="79"/>
      <c r="G43" s="79"/>
      <c r="H43" s="79"/>
      <c r="I43" s="79"/>
      <c r="J43" s="79"/>
      <c r="K43" s="79"/>
      <c r="L43" s="79"/>
      <c r="M43" s="79"/>
      <c r="N43" s="98"/>
      <c r="O43" s="81"/>
      <c r="P43" s="79"/>
      <c r="Q43" s="79"/>
      <c r="R43" s="81"/>
      <c r="S43" s="81"/>
      <c r="T43" s="81"/>
      <c r="U43" s="81"/>
    </row>
    <row r="44" spans="1:21" ht="15" hidden="1" outlineLevel="1" x14ac:dyDescent="0.2">
      <c r="A44" s="82"/>
      <c r="B44" s="82" t="s">
        <v>501</v>
      </c>
      <c r="C44" s="83" t="s">
        <v>494</v>
      </c>
      <c r="D44" s="80" t="s">
        <v>495</v>
      </c>
      <c r="E44" s="80">
        <v>4</v>
      </c>
      <c r="F44" s="79"/>
      <c r="G44" s="79"/>
      <c r="H44" s="79"/>
      <c r="I44" s="79"/>
      <c r="J44" s="79"/>
      <c r="K44" s="79"/>
      <c r="L44" s="100"/>
      <c r="M44" s="79"/>
      <c r="N44" s="98"/>
      <c r="O44" s="81"/>
      <c r="P44" s="79"/>
      <c r="Q44" s="79"/>
      <c r="R44" s="81"/>
      <c r="S44" s="81"/>
      <c r="T44" s="81"/>
      <c r="U44" s="81"/>
    </row>
    <row r="45" spans="1:21" ht="15" hidden="1" outlineLevel="1" x14ac:dyDescent="0.2">
      <c r="A45" s="82"/>
      <c r="B45" s="82" t="s">
        <v>502</v>
      </c>
      <c r="C45" s="83" t="s">
        <v>494</v>
      </c>
      <c r="D45" s="80" t="s">
        <v>495</v>
      </c>
      <c r="E45" s="80">
        <v>4</v>
      </c>
      <c r="F45" s="79"/>
      <c r="G45" s="79"/>
      <c r="H45" s="79"/>
      <c r="I45" s="79"/>
      <c r="J45" s="79"/>
      <c r="K45" s="79"/>
      <c r="L45" s="79"/>
      <c r="M45" s="79"/>
      <c r="N45" s="81"/>
      <c r="O45" s="98"/>
      <c r="P45" s="79"/>
      <c r="Q45" s="79"/>
      <c r="R45" s="81"/>
      <c r="S45" s="81"/>
      <c r="T45" s="81"/>
      <c r="U45" s="81"/>
    </row>
    <row r="46" spans="1:21" ht="15" hidden="1" outlineLevel="1" x14ac:dyDescent="0.2">
      <c r="A46" s="82"/>
      <c r="B46" s="82" t="s">
        <v>503</v>
      </c>
      <c r="C46" s="83" t="s">
        <v>494</v>
      </c>
      <c r="D46" s="80" t="s">
        <v>495</v>
      </c>
      <c r="E46" s="80">
        <v>2</v>
      </c>
      <c r="F46" s="79"/>
      <c r="G46" s="79"/>
      <c r="H46" s="79"/>
      <c r="I46" s="79"/>
      <c r="J46" s="79"/>
      <c r="K46" s="79"/>
      <c r="L46" s="79"/>
      <c r="M46" s="79"/>
      <c r="N46" s="81"/>
      <c r="O46" s="98"/>
      <c r="P46" s="79"/>
      <c r="Q46" s="79"/>
      <c r="R46" s="81"/>
      <c r="S46" s="81"/>
      <c r="T46" s="81"/>
      <c r="U46" s="81"/>
    </row>
    <row r="47" spans="1:21" ht="15" collapsed="1" x14ac:dyDescent="0.2">
      <c r="A47" s="327" t="s">
        <v>504</v>
      </c>
      <c r="B47" s="327"/>
      <c r="C47" s="83"/>
      <c r="D47" s="80"/>
      <c r="E47" s="80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95"/>
      <c r="S47" s="79"/>
      <c r="T47" s="79"/>
      <c r="U47" s="79"/>
    </row>
    <row r="48" spans="1:21" ht="15" hidden="1" outlineLevel="1" x14ac:dyDescent="0.2">
      <c r="A48" s="82"/>
      <c r="B48" s="82" t="s">
        <v>505</v>
      </c>
      <c r="C48" s="83" t="s">
        <v>494</v>
      </c>
      <c r="D48" s="80" t="s">
        <v>495</v>
      </c>
      <c r="E48" s="80">
        <v>2</v>
      </c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98"/>
      <c r="S48" s="79"/>
      <c r="T48" s="79"/>
      <c r="U48" s="79"/>
    </row>
    <row r="49" spans="1:21" ht="15" hidden="1" outlineLevel="1" x14ac:dyDescent="0.2">
      <c r="A49" s="82"/>
      <c r="B49" s="82" t="s">
        <v>506</v>
      </c>
      <c r="C49" s="83" t="s">
        <v>494</v>
      </c>
      <c r="D49" s="80" t="s">
        <v>495</v>
      </c>
      <c r="E49" s="80">
        <v>2</v>
      </c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98"/>
      <c r="S49" s="79"/>
      <c r="T49" s="79"/>
      <c r="U49" s="79"/>
    </row>
    <row r="50" spans="1:21" ht="15" hidden="1" outlineLevel="1" x14ac:dyDescent="0.2">
      <c r="A50" s="82"/>
      <c r="B50" s="82" t="s">
        <v>507</v>
      </c>
      <c r="C50" s="83" t="s">
        <v>494</v>
      </c>
      <c r="D50" s="80" t="s">
        <v>495</v>
      </c>
      <c r="E50" s="80">
        <v>3</v>
      </c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98"/>
      <c r="S50" s="81"/>
      <c r="T50" s="79"/>
      <c r="U50" s="79"/>
    </row>
    <row r="51" spans="1:21" ht="15" collapsed="1" x14ac:dyDescent="0.2">
      <c r="A51" s="327" t="s">
        <v>508</v>
      </c>
      <c r="B51" s="327"/>
      <c r="C51" s="83"/>
      <c r="D51" s="80"/>
      <c r="E51" s="80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81"/>
      <c r="R51" s="79"/>
      <c r="S51" s="95"/>
      <c r="T51" s="79"/>
      <c r="U51" s="79"/>
    </row>
    <row r="52" spans="1:21" ht="15" hidden="1" outlineLevel="1" x14ac:dyDescent="0.2">
      <c r="A52" s="82"/>
      <c r="B52" s="82" t="s">
        <v>509</v>
      </c>
      <c r="C52" s="83" t="s">
        <v>494</v>
      </c>
      <c r="D52" s="80" t="s">
        <v>495</v>
      </c>
      <c r="E52" s="80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81"/>
      <c r="R52" s="79"/>
      <c r="S52" s="98"/>
      <c r="T52" s="79"/>
      <c r="U52" s="79"/>
    </row>
    <row r="53" spans="1:21" ht="15" hidden="1" outlineLevel="1" x14ac:dyDescent="0.2">
      <c r="A53" s="82"/>
      <c r="B53" s="82" t="s">
        <v>510</v>
      </c>
      <c r="C53" s="83" t="s">
        <v>494</v>
      </c>
      <c r="D53" s="80" t="s">
        <v>495</v>
      </c>
      <c r="E53" s="80">
        <v>4</v>
      </c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81"/>
      <c r="R53" s="79"/>
      <c r="S53" s="98"/>
      <c r="T53" s="79"/>
      <c r="U53" s="79"/>
    </row>
    <row r="54" spans="1:21" ht="15" hidden="1" outlineLevel="1" x14ac:dyDescent="0.2">
      <c r="A54" s="82"/>
      <c r="B54" s="82" t="s">
        <v>511</v>
      </c>
      <c r="C54" s="83" t="s">
        <v>494</v>
      </c>
      <c r="D54" s="80" t="s">
        <v>495</v>
      </c>
      <c r="E54" s="80">
        <v>4</v>
      </c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81"/>
      <c r="R54" s="79"/>
      <c r="S54" s="98"/>
      <c r="T54" s="79"/>
      <c r="U54" s="79"/>
    </row>
    <row r="55" spans="1:21" ht="15" collapsed="1" x14ac:dyDescent="0.2">
      <c r="A55" s="327" t="s">
        <v>512</v>
      </c>
      <c r="B55" s="327"/>
      <c r="C55" s="83"/>
      <c r="D55" s="80"/>
      <c r="E55" s="80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81"/>
      <c r="T55" s="95"/>
      <c r="U55" s="79"/>
    </row>
    <row r="56" spans="1:21" ht="15" hidden="1" outlineLevel="1" x14ac:dyDescent="0.2">
      <c r="A56" s="82"/>
      <c r="B56" s="84" t="s">
        <v>513</v>
      </c>
      <c r="C56" s="83" t="s">
        <v>494</v>
      </c>
      <c r="D56" s="80" t="s">
        <v>495</v>
      </c>
      <c r="E56" s="80">
        <v>4</v>
      </c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81"/>
      <c r="T56" s="98"/>
      <c r="U56" s="81"/>
    </row>
    <row r="57" spans="1:21" ht="15" hidden="1" outlineLevel="1" x14ac:dyDescent="0.2">
      <c r="A57" s="82"/>
      <c r="B57" s="84" t="s">
        <v>514</v>
      </c>
      <c r="C57" s="83"/>
      <c r="D57" s="80"/>
      <c r="E57" s="80">
        <v>4</v>
      </c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81"/>
      <c r="T57" s="98"/>
      <c r="U57" s="81"/>
    </row>
    <row r="58" spans="1:21" ht="15" collapsed="1" x14ac:dyDescent="0.25">
      <c r="A58" s="328" t="s">
        <v>515</v>
      </c>
      <c r="B58" s="328"/>
      <c r="C58" s="86"/>
      <c r="D58" s="78"/>
      <c r="E58" s="80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</row>
    <row r="59" spans="1:21" ht="15" hidden="1" outlineLevel="1" x14ac:dyDescent="0.2">
      <c r="A59" s="81"/>
      <c r="B59" s="85" t="s">
        <v>516</v>
      </c>
      <c r="C59" s="87"/>
      <c r="D59" s="88"/>
      <c r="E59" s="80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79"/>
    </row>
    <row r="60" spans="1:21" ht="14.25" hidden="1" customHeight="1" outlineLevel="1" x14ac:dyDescent="0.2">
      <c r="A60" s="81"/>
      <c r="B60" s="82" t="s">
        <v>517</v>
      </c>
      <c r="C60" s="79" t="s">
        <v>518</v>
      </c>
      <c r="D60" s="80" t="s">
        <v>519</v>
      </c>
      <c r="E60" s="80">
        <v>3</v>
      </c>
      <c r="F60" s="98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</row>
    <row r="61" spans="1:21" ht="15" hidden="1" outlineLevel="1" x14ac:dyDescent="0.2">
      <c r="A61" s="81"/>
      <c r="B61" s="82" t="s">
        <v>520</v>
      </c>
      <c r="C61" s="79" t="s">
        <v>521</v>
      </c>
      <c r="D61" s="80" t="s">
        <v>522</v>
      </c>
      <c r="E61" s="80">
        <v>3</v>
      </c>
      <c r="F61" s="98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</row>
    <row r="62" spans="1:21" ht="15" hidden="1" outlineLevel="1" x14ac:dyDescent="0.2">
      <c r="A62" s="81"/>
      <c r="B62" s="82" t="s">
        <v>523</v>
      </c>
      <c r="C62" s="79" t="s">
        <v>521</v>
      </c>
      <c r="D62" s="80" t="s">
        <v>522</v>
      </c>
      <c r="E62" s="80">
        <v>3</v>
      </c>
      <c r="F62" s="79"/>
      <c r="G62" s="100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</row>
    <row r="63" spans="1:21" ht="15" hidden="1" outlineLevel="1" x14ac:dyDescent="0.2">
      <c r="A63" s="81"/>
      <c r="B63" s="82" t="s">
        <v>524</v>
      </c>
      <c r="C63" s="79" t="s">
        <v>521</v>
      </c>
      <c r="D63" s="80" t="s">
        <v>522</v>
      </c>
      <c r="E63" s="80">
        <v>3</v>
      </c>
      <c r="F63" s="79"/>
      <c r="G63" s="100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</row>
    <row r="64" spans="1:21" ht="15" hidden="1" outlineLevel="1" x14ac:dyDescent="0.2">
      <c r="A64" s="81"/>
      <c r="B64" s="82" t="s">
        <v>525</v>
      </c>
      <c r="C64" s="79" t="s">
        <v>521</v>
      </c>
      <c r="D64" s="80" t="s">
        <v>522</v>
      </c>
      <c r="E64" s="80">
        <v>10</v>
      </c>
      <c r="F64" s="79"/>
      <c r="G64" s="90"/>
      <c r="H64" s="99" t="s">
        <v>526</v>
      </c>
      <c r="I64" s="80"/>
      <c r="J64" s="79"/>
      <c r="K64" s="101" t="s">
        <v>527</v>
      </c>
      <c r="L64" s="99" t="s">
        <v>528</v>
      </c>
      <c r="M64" s="80"/>
      <c r="N64" s="80"/>
      <c r="O64" s="99" t="s">
        <v>529</v>
      </c>
      <c r="P64" s="99" t="s">
        <v>530</v>
      </c>
      <c r="Q64" s="79"/>
      <c r="R64" s="79"/>
      <c r="S64" s="81"/>
      <c r="T64" s="79"/>
      <c r="U64" s="79"/>
    </row>
    <row r="65" spans="1:21" ht="15" hidden="1" outlineLevel="1" x14ac:dyDescent="0.2">
      <c r="A65" s="81"/>
      <c r="B65" s="82" t="s">
        <v>531</v>
      </c>
      <c r="C65" s="79" t="s">
        <v>521</v>
      </c>
      <c r="D65" s="80" t="s">
        <v>522</v>
      </c>
      <c r="E65" s="80">
        <v>3</v>
      </c>
      <c r="F65" s="79"/>
      <c r="G65" s="79"/>
      <c r="H65" s="79"/>
      <c r="I65" s="100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</row>
    <row r="66" spans="1:21" ht="15" hidden="1" outlineLevel="1" x14ac:dyDescent="0.2">
      <c r="A66" s="81"/>
      <c r="B66" s="82" t="s">
        <v>532</v>
      </c>
      <c r="C66" s="79" t="s">
        <v>533</v>
      </c>
      <c r="D66" s="80" t="s">
        <v>522</v>
      </c>
      <c r="E66" s="80">
        <v>3</v>
      </c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100"/>
      <c r="R66" s="79"/>
      <c r="S66" s="79"/>
      <c r="T66" s="79"/>
      <c r="U66" s="79"/>
    </row>
    <row r="67" spans="1:21" ht="15" hidden="1" outlineLevel="1" x14ac:dyDescent="0.2">
      <c r="A67" s="81"/>
      <c r="B67" s="82" t="s">
        <v>534</v>
      </c>
      <c r="C67" s="79"/>
      <c r="D67" s="80"/>
      <c r="E67" s="80">
        <v>3</v>
      </c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100"/>
      <c r="S67" s="79"/>
      <c r="T67" s="79"/>
      <c r="U67" s="79"/>
    </row>
    <row r="68" spans="1:21" ht="15" hidden="1" outlineLevel="1" x14ac:dyDescent="0.2">
      <c r="A68" s="81"/>
      <c r="B68" s="82" t="s">
        <v>535</v>
      </c>
      <c r="C68" s="79"/>
      <c r="D68" s="80"/>
      <c r="E68" s="80">
        <v>3</v>
      </c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100"/>
      <c r="T68" s="79"/>
      <c r="U68" s="79"/>
    </row>
    <row r="69" spans="1:21" ht="15" hidden="1" outlineLevel="1" x14ac:dyDescent="0.2">
      <c r="A69" s="81"/>
      <c r="B69" s="82" t="s">
        <v>536</v>
      </c>
      <c r="C69" s="79" t="s">
        <v>533</v>
      </c>
      <c r="D69" s="80" t="s">
        <v>522</v>
      </c>
      <c r="E69" s="80">
        <v>3</v>
      </c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100"/>
      <c r="U69" s="79"/>
    </row>
    <row r="70" spans="1:21" ht="15" hidden="1" outlineLevel="1" x14ac:dyDescent="0.2">
      <c r="A70" s="81"/>
      <c r="B70" s="85" t="s">
        <v>537</v>
      </c>
      <c r="C70" s="87"/>
      <c r="D70" s="88"/>
      <c r="E70" s="80"/>
      <c r="F70" s="79"/>
      <c r="G70" s="79"/>
      <c r="H70" s="79"/>
      <c r="I70" s="98"/>
      <c r="J70" s="98"/>
      <c r="K70" s="98"/>
      <c r="L70" s="98"/>
      <c r="M70" s="98"/>
      <c r="N70" s="98"/>
      <c r="O70" s="98"/>
      <c r="P70" s="79"/>
      <c r="Q70" s="79"/>
      <c r="R70" s="81"/>
      <c r="S70" s="81"/>
      <c r="T70" s="81"/>
      <c r="U70" s="79"/>
    </row>
    <row r="71" spans="1:21" ht="15" collapsed="1" x14ac:dyDescent="0.2">
      <c r="A71" s="328" t="s">
        <v>538</v>
      </c>
      <c r="B71" s="328"/>
      <c r="C71" s="79"/>
      <c r="D71" s="80"/>
      <c r="E71" s="80"/>
      <c r="F71" s="79"/>
      <c r="G71" s="79"/>
      <c r="H71" s="79"/>
      <c r="I71" s="97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</row>
    <row r="72" spans="1:21" ht="15" hidden="1" outlineLevel="1" x14ac:dyDescent="0.2">
      <c r="A72" s="82"/>
      <c r="B72" s="82" t="s">
        <v>539</v>
      </c>
      <c r="C72" s="79" t="s">
        <v>521</v>
      </c>
      <c r="D72" s="80" t="s">
        <v>522</v>
      </c>
      <c r="E72" s="80">
        <v>3</v>
      </c>
      <c r="F72" s="79"/>
      <c r="G72" s="79"/>
      <c r="H72" s="79"/>
      <c r="I72" s="100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</row>
    <row r="73" spans="1:21" ht="15" hidden="1" outlineLevel="1" x14ac:dyDescent="0.2">
      <c r="A73" s="82"/>
      <c r="B73" s="82" t="s">
        <v>540</v>
      </c>
      <c r="C73" s="79" t="s">
        <v>521</v>
      </c>
      <c r="D73" s="80" t="s">
        <v>522</v>
      </c>
      <c r="E73" s="80">
        <v>3</v>
      </c>
      <c r="F73" s="79"/>
      <c r="G73" s="79"/>
      <c r="H73" s="79"/>
      <c r="I73" s="100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</row>
    <row r="74" spans="1:21" ht="15" hidden="1" outlineLevel="1" x14ac:dyDescent="0.2">
      <c r="A74" s="82"/>
      <c r="B74" s="82" t="s">
        <v>541</v>
      </c>
      <c r="C74" s="79" t="s">
        <v>521</v>
      </c>
      <c r="D74" s="80" t="s">
        <v>522</v>
      </c>
      <c r="E74" s="80">
        <v>3</v>
      </c>
      <c r="F74" s="79"/>
      <c r="G74" s="79"/>
      <c r="H74" s="79"/>
      <c r="I74" s="79"/>
      <c r="J74" s="100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</row>
    <row r="75" spans="1:21" ht="15" hidden="1" outlineLevel="1" x14ac:dyDescent="0.2">
      <c r="A75" s="82"/>
      <c r="B75" s="82" t="s">
        <v>542</v>
      </c>
      <c r="C75" s="79" t="s">
        <v>521</v>
      </c>
      <c r="D75" s="80" t="s">
        <v>522</v>
      </c>
      <c r="E75" s="80">
        <v>3</v>
      </c>
      <c r="F75" s="79"/>
      <c r="G75" s="79"/>
      <c r="H75" s="79"/>
      <c r="I75" s="79"/>
      <c r="J75" s="100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</row>
    <row r="76" spans="1:21" ht="15" hidden="1" outlineLevel="1" x14ac:dyDescent="0.2">
      <c r="A76" s="82"/>
      <c r="B76" s="82" t="s">
        <v>543</v>
      </c>
      <c r="C76" s="79" t="s">
        <v>521</v>
      </c>
      <c r="D76" s="80" t="s">
        <v>522</v>
      </c>
      <c r="E76" s="80">
        <v>2</v>
      </c>
      <c r="F76" s="79"/>
      <c r="G76" s="79"/>
      <c r="H76" s="79"/>
      <c r="I76" s="79"/>
      <c r="J76" s="100"/>
      <c r="K76" s="81"/>
      <c r="L76" s="79"/>
      <c r="M76" s="79"/>
      <c r="N76" s="79"/>
      <c r="O76" s="79"/>
      <c r="P76" s="79"/>
      <c r="Q76" s="79"/>
      <c r="R76" s="79"/>
      <c r="S76" s="79"/>
      <c r="T76" s="79"/>
      <c r="U76" s="79"/>
    </row>
    <row r="77" spans="1:21" ht="15" collapsed="1" x14ac:dyDescent="0.2">
      <c r="A77" s="328" t="s">
        <v>544</v>
      </c>
      <c r="B77" s="328"/>
      <c r="C77" s="79"/>
      <c r="D77" s="80"/>
      <c r="E77" s="80"/>
      <c r="F77" s="79"/>
      <c r="G77" s="79"/>
      <c r="H77" s="79"/>
      <c r="I77" s="79"/>
      <c r="J77" s="79"/>
      <c r="K77" s="97"/>
      <c r="L77" s="97"/>
      <c r="M77" s="97"/>
      <c r="N77" s="97"/>
      <c r="O77" s="97"/>
      <c r="P77" s="79"/>
      <c r="Q77" s="79"/>
      <c r="R77" s="79"/>
      <c r="S77" s="79"/>
      <c r="T77" s="79"/>
      <c r="U77" s="79"/>
    </row>
    <row r="78" spans="1:21" ht="15" hidden="1" outlineLevel="1" x14ac:dyDescent="0.2">
      <c r="A78" s="82"/>
      <c r="B78" s="82" t="s">
        <v>545</v>
      </c>
      <c r="C78" s="79" t="s">
        <v>521</v>
      </c>
      <c r="D78" s="80" t="s">
        <v>522</v>
      </c>
      <c r="E78" s="80">
        <v>2</v>
      </c>
      <c r="F78" s="79"/>
      <c r="G78" s="79"/>
      <c r="H78" s="79"/>
      <c r="I78" s="79"/>
      <c r="J78" s="79"/>
      <c r="K78" s="79"/>
      <c r="L78" s="100"/>
      <c r="M78" s="79"/>
      <c r="N78" s="100"/>
      <c r="O78" s="100"/>
      <c r="P78" s="79"/>
      <c r="Q78" s="79"/>
      <c r="R78" s="79"/>
      <c r="S78" s="79"/>
      <c r="T78" s="79"/>
      <c r="U78" s="79"/>
    </row>
    <row r="79" spans="1:21" ht="15" hidden="1" outlineLevel="1" x14ac:dyDescent="0.2">
      <c r="A79" s="82"/>
      <c r="B79" s="82" t="s">
        <v>546</v>
      </c>
      <c r="C79" s="79" t="s">
        <v>521</v>
      </c>
      <c r="D79" s="80" t="s">
        <v>522</v>
      </c>
      <c r="E79" s="80">
        <v>2</v>
      </c>
      <c r="F79" s="79"/>
      <c r="G79" s="79"/>
      <c r="H79" s="79"/>
      <c r="I79" s="79"/>
      <c r="J79" s="79"/>
      <c r="K79" s="79"/>
      <c r="L79" s="100"/>
      <c r="M79" s="79"/>
      <c r="N79" s="100"/>
      <c r="O79" s="100"/>
      <c r="P79" s="79"/>
      <c r="Q79" s="79"/>
      <c r="R79" s="79"/>
      <c r="S79" s="79"/>
      <c r="T79" s="79"/>
      <c r="U79" s="79"/>
    </row>
    <row r="80" spans="1:21" ht="15" hidden="1" outlineLevel="1" x14ac:dyDescent="0.2">
      <c r="A80" s="82"/>
      <c r="B80" s="82" t="s">
        <v>547</v>
      </c>
      <c r="C80" s="79" t="s">
        <v>521</v>
      </c>
      <c r="D80" s="80" t="s">
        <v>522</v>
      </c>
      <c r="E80" s="80">
        <v>2</v>
      </c>
      <c r="F80" s="79"/>
      <c r="G80" s="79"/>
      <c r="H80" s="79"/>
      <c r="I80" s="79"/>
      <c r="J80" s="79"/>
      <c r="K80" s="79"/>
      <c r="L80" s="100"/>
      <c r="M80" s="79"/>
      <c r="N80" s="100"/>
      <c r="O80" s="100"/>
      <c r="P80" s="79"/>
      <c r="Q80" s="79"/>
      <c r="R80" s="79"/>
      <c r="S80" s="79"/>
      <c r="T80" s="79"/>
      <c r="U80" s="79"/>
    </row>
    <row r="81" spans="1:21" hidden="1" outlineLevel="1" x14ac:dyDescent="0.2">
      <c r="A81" s="89"/>
      <c r="B81" s="91" t="s">
        <v>548</v>
      </c>
      <c r="C81" s="91" t="s">
        <v>521</v>
      </c>
      <c r="D81" s="92" t="s">
        <v>522</v>
      </c>
      <c r="E81" s="80">
        <v>2</v>
      </c>
      <c r="F81" s="81"/>
      <c r="G81" s="81"/>
      <c r="H81" s="81"/>
      <c r="I81" s="81"/>
      <c r="J81" s="81"/>
      <c r="K81" s="100"/>
      <c r="L81" s="81"/>
      <c r="M81" s="81"/>
      <c r="N81" s="100"/>
      <c r="O81" s="100"/>
      <c r="P81" s="81"/>
      <c r="Q81" s="81"/>
      <c r="R81" s="81"/>
      <c r="S81" s="81"/>
      <c r="T81" s="81"/>
      <c r="U81" s="81"/>
    </row>
    <row r="82" spans="1:21" ht="15" hidden="1" outlineLevel="1" x14ac:dyDescent="0.2">
      <c r="A82" s="82"/>
      <c r="B82" s="82" t="s">
        <v>549</v>
      </c>
      <c r="C82" s="79" t="s">
        <v>521</v>
      </c>
      <c r="D82" s="80" t="s">
        <v>522</v>
      </c>
      <c r="E82" s="80">
        <v>2</v>
      </c>
      <c r="F82" s="79"/>
      <c r="G82" s="79"/>
      <c r="H82" s="79"/>
      <c r="I82" s="79"/>
      <c r="J82" s="79"/>
      <c r="K82" s="79"/>
      <c r="L82" s="79"/>
      <c r="M82" s="100"/>
      <c r="N82" s="100"/>
      <c r="O82" s="100"/>
      <c r="P82" s="79"/>
      <c r="Q82" s="79"/>
      <c r="R82" s="79"/>
      <c r="S82" s="79"/>
      <c r="T82" s="79"/>
      <c r="U82" s="79"/>
    </row>
    <row r="83" spans="1:21" ht="15" hidden="1" outlineLevel="1" x14ac:dyDescent="0.2">
      <c r="A83" s="82"/>
      <c r="B83" s="82" t="s">
        <v>550</v>
      </c>
      <c r="C83" s="79" t="s">
        <v>521</v>
      </c>
      <c r="D83" s="80" t="s">
        <v>522</v>
      </c>
      <c r="E83" s="80">
        <v>2</v>
      </c>
      <c r="F83" s="79"/>
      <c r="G83" s="79"/>
      <c r="H83" s="79"/>
      <c r="I83" s="79"/>
      <c r="J83" s="79"/>
      <c r="K83" s="79"/>
      <c r="L83" s="79"/>
      <c r="M83" s="100"/>
      <c r="N83" s="100"/>
      <c r="O83" s="100"/>
      <c r="P83" s="79"/>
      <c r="Q83" s="79"/>
      <c r="R83" s="79"/>
      <c r="S83" s="79"/>
      <c r="T83" s="79"/>
      <c r="U83" s="79"/>
    </row>
    <row r="84" spans="1:21" ht="15" hidden="1" outlineLevel="1" x14ac:dyDescent="0.2">
      <c r="A84" s="82"/>
      <c r="B84" s="82" t="s">
        <v>551</v>
      </c>
      <c r="C84" s="79" t="s">
        <v>521</v>
      </c>
      <c r="D84" s="80" t="s">
        <v>522</v>
      </c>
      <c r="E84" s="80">
        <v>2</v>
      </c>
      <c r="F84" s="79"/>
      <c r="G84" s="79"/>
      <c r="H84" s="79"/>
      <c r="I84" s="79"/>
      <c r="J84" s="79"/>
      <c r="K84" s="79"/>
      <c r="L84" s="79"/>
      <c r="M84" s="100"/>
      <c r="N84" s="100"/>
      <c r="O84" s="100"/>
      <c r="P84" s="79"/>
      <c r="Q84" s="79"/>
      <c r="R84" s="79"/>
      <c r="S84" s="79"/>
      <c r="T84" s="79"/>
      <c r="U84" s="79"/>
    </row>
    <row r="85" spans="1:21" ht="15" hidden="1" outlineLevel="1" x14ac:dyDescent="0.2">
      <c r="A85" s="82"/>
      <c r="B85" s="82" t="s">
        <v>552</v>
      </c>
      <c r="C85" s="79" t="s">
        <v>521</v>
      </c>
      <c r="D85" s="80" t="s">
        <v>522</v>
      </c>
      <c r="E85" s="80">
        <v>2</v>
      </c>
      <c r="F85" s="79"/>
      <c r="G85" s="79"/>
      <c r="H85" s="79"/>
      <c r="I85" s="79"/>
      <c r="J85" s="79"/>
      <c r="K85" s="79"/>
      <c r="L85" s="79"/>
      <c r="M85" s="81"/>
      <c r="N85" s="100"/>
      <c r="O85" s="100"/>
      <c r="P85" s="79"/>
      <c r="Q85" s="79"/>
      <c r="R85" s="79"/>
      <c r="S85" s="79"/>
      <c r="T85" s="79"/>
      <c r="U85" s="79"/>
    </row>
    <row r="86" spans="1:21" ht="15" hidden="1" outlineLevel="1" x14ac:dyDescent="0.2">
      <c r="A86" s="82"/>
      <c r="B86" s="82" t="s">
        <v>553</v>
      </c>
      <c r="C86" s="79" t="s">
        <v>521</v>
      </c>
      <c r="D86" s="80" t="s">
        <v>522</v>
      </c>
      <c r="E86" s="80">
        <v>2</v>
      </c>
      <c r="F86" s="79"/>
      <c r="G86" s="79"/>
      <c r="H86" s="79"/>
      <c r="I86" s="79"/>
      <c r="J86" s="79"/>
      <c r="K86" s="79"/>
      <c r="L86" s="79"/>
      <c r="M86" s="81"/>
      <c r="N86" s="100"/>
      <c r="O86" s="100"/>
      <c r="P86" s="79"/>
      <c r="Q86" s="79"/>
      <c r="R86" s="79"/>
      <c r="S86" s="79"/>
      <c r="T86" s="79"/>
      <c r="U86" s="79"/>
    </row>
    <row r="87" spans="1:21" ht="15" hidden="1" outlineLevel="1" x14ac:dyDescent="0.2">
      <c r="A87" s="82"/>
      <c r="B87" s="82" t="s">
        <v>554</v>
      </c>
      <c r="C87" s="79" t="s">
        <v>521</v>
      </c>
      <c r="D87" s="80" t="s">
        <v>522</v>
      </c>
      <c r="E87" s="80">
        <v>2</v>
      </c>
      <c r="F87" s="79"/>
      <c r="G87" s="79"/>
      <c r="H87" s="79"/>
      <c r="I87" s="79"/>
      <c r="J87" s="79"/>
      <c r="K87" s="79"/>
      <c r="L87" s="79"/>
      <c r="M87" s="81"/>
      <c r="N87" s="100"/>
      <c r="O87" s="100"/>
      <c r="P87" s="79"/>
      <c r="Q87" s="79"/>
      <c r="R87" s="79"/>
      <c r="S87" s="79"/>
      <c r="T87" s="79"/>
      <c r="U87" s="79"/>
    </row>
    <row r="88" spans="1:21" ht="15" hidden="1" outlineLevel="1" x14ac:dyDescent="0.2">
      <c r="A88" s="82"/>
      <c r="B88" s="82" t="s">
        <v>555</v>
      </c>
      <c r="C88" s="79" t="s">
        <v>521</v>
      </c>
      <c r="D88" s="80" t="s">
        <v>522</v>
      </c>
      <c r="E88" s="80">
        <v>2</v>
      </c>
      <c r="F88" s="79"/>
      <c r="G88" s="79"/>
      <c r="H88" s="79"/>
      <c r="I88" s="79"/>
      <c r="J88" s="79"/>
      <c r="K88" s="79"/>
      <c r="L88" s="79"/>
      <c r="M88" s="79"/>
      <c r="N88" s="100"/>
      <c r="O88" s="100"/>
      <c r="P88" s="79"/>
      <c r="Q88" s="79"/>
      <c r="R88" s="79"/>
      <c r="S88" s="79"/>
      <c r="T88" s="79"/>
      <c r="U88" s="79"/>
    </row>
    <row r="89" spans="1:21" ht="15" hidden="1" outlineLevel="1" x14ac:dyDescent="0.2">
      <c r="A89" s="82"/>
      <c r="B89" s="82" t="s">
        <v>556</v>
      </c>
      <c r="C89" s="79" t="s">
        <v>521</v>
      </c>
      <c r="D89" s="80" t="s">
        <v>522</v>
      </c>
      <c r="E89" s="80">
        <v>2</v>
      </c>
      <c r="F89" s="79"/>
      <c r="G89" s="79"/>
      <c r="H89" s="79"/>
      <c r="I89" s="79"/>
      <c r="J89" s="79"/>
      <c r="K89" s="79"/>
      <c r="L89" s="79"/>
      <c r="M89" s="79"/>
      <c r="N89" s="100"/>
      <c r="O89" s="100"/>
      <c r="P89" s="79"/>
      <c r="Q89" s="79"/>
      <c r="R89" s="79"/>
      <c r="S89" s="79"/>
      <c r="T89" s="79"/>
      <c r="U89" s="79"/>
    </row>
    <row r="90" spans="1:21" ht="15" collapsed="1" x14ac:dyDescent="0.2">
      <c r="A90" s="328" t="s">
        <v>557</v>
      </c>
      <c r="B90" s="328"/>
      <c r="C90" s="79"/>
      <c r="D90" s="80"/>
      <c r="E90" s="80"/>
      <c r="F90" s="79"/>
      <c r="G90" s="79"/>
      <c r="H90" s="79"/>
      <c r="I90" s="79"/>
      <c r="J90" s="79"/>
      <c r="K90" s="79"/>
      <c r="L90" s="79"/>
      <c r="M90" s="79"/>
      <c r="N90" s="97"/>
      <c r="O90" s="97"/>
      <c r="P90" s="79"/>
      <c r="Q90" s="79"/>
      <c r="R90" s="79"/>
      <c r="S90" s="79"/>
      <c r="T90" s="79"/>
      <c r="U90" s="79"/>
    </row>
    <row r="91" spans="1:21" ht="15" hidden="1" outlineLevel="1" x14ac:dyDescent="0.2">
      <c r="A91" s="82"/>
      <c r="B91" s="82" t="s">
        <v>558</v>
      </c>
      <c r="C91" s="79" t="s">
        <v>521</v>
      </c>
      <c r="D91" s="80" t="s">
        <v>522</v>
      </c>
      <c r="E91" s="80">
        <v>2</v>
      </c>
      <c r="F91" s="79"/>
      <c r="G91" s="79"/>
      <c r="H91" s="79"/>
      <c r="I91" s="79"/>
      <c r="J91" s="79"/>
      <c r="K91" s="79"/>
      <c r="L91" s="79"/>
      <c r="M91" s="79"/>
      <c r="N91" s="100"/>
      <c r="O91" s="79"/>
      <c r="P91" s="79"/>
      <c r="Q91" s="79"/>
      <c r="R91" s="79"/>
      <c r="S91" s="79"/>
      <c r="T91" s="79"/>
      <c r="U91" s="79"/>
    </row>
    <row r="92" spans="1:21" ht="15" hidden="1" outlineLevel="1" x14ac:dyDescent="0.2">
      <c r="A92" s="82"/>
      <c r="B92" s="82" t="s">
        <v>559</v>
      </c>
      <c r="C92" s="79" t="s">
        <v>521</v>
      </c>
      <c r="D92" s="80" t="s">
        <v>522</v>
      </c>
      <c r="E92" s="80">
        <v>2</v>
      </c>
      <c r="F92" s="79"/>
      <c r="G92" s="79"/>
      <c r="H92" s="79"/>
      <c r="I92" s="79"/>
      <c r="J92" s="79"/>
      <c r="K92" s="79"/>
      <c r="L92" s="79"/>
      <c r="M92" s="79"/>
      <c r="N92" s="100"/>
      <c r="O92" s="79"/>
      <c r="P92" s="79"/>
      <c r="Q92" s="79"/>
      <c r="R92" s="79"/>
      <c r="S92" s="79"/>
      <c r="T92" s="79"/>
      <c r="U92" s="79"/>
    </row>
    <row r="93" spans="1:21" ht="15" hidden="1" outlineLevel="1" x14ac:dyDescent="0.2">
      <c r="A93" s="82"/>
      <c r="B93" s="82" t="s">
        <v>560</v>
      </c>
      <c r="C93" s="79" t="s">
        <v>521</v>
      </c>
      <c r="D93" s="80" t="s">
        <v>522</v>
      </c>
      <c r="E93" s="80">
        <v>2</v>
      </c>
      <c r="F93" s="79"/>
      <c r="G93" s="79"/>
      <c r="H93" s="79"/>
      <c r="I93" s="79"/>
      <c r="J93" s="79"/>
      <c r="K93" s="79"/>
      <c r="L93" s="79"/>
      <c r="M93" s="79"/>
      <c r="N93" s="79"/>
      <c r="O93" s="100"/>
      <c r="P93" s="79"/>
      <c r="Q93" s="79"/>
      <c r="R93" s="79"/>
      <c r="S93" s="79"/>
      <c r="T93" s="79"/>
      <c r="U93" s="79"/>
    </row>
    <row r="94" spans="1:21" ht="15" hidden="1" outlineLevel="1" x14ac:dyDescent="0.2">
      <c r="A94" s="82"/>
      <c r="B94" s="82" t="s">
        <v>561</v>
      </c>
      <c r="C94" s="79" t="s">
        <v>521</v>
      </c>
      <c r="D94" s="80" t="s">
        <v>522</v>
      </c>
      <c r="E94" s="80">
        <v>2</v>
      </c>
      <c r="F94" s="79"/>
      <c r="G94" s="79"/>
      <c r="H94" s="79"/>
      <c r="I94" s="79"/>
      <c r="J94" s="79"/>
      <c r="K94" s="79"/>
      <c r="L94" s="79"/>
      <c r="M94" s="79"/>
      <c r="N94" s="79"/>
      <c r="O94" s="100"/>
      <c r="P94" s="79"/>
      <c r="Q94" s="79"/>
      <c r="R94" s="79"/>
      <c r="S94" s="79"/>
      <c r="T94" s="79"/>
      <c r="U94" s="79"/>
    </row>
    <row r="95" spans="1:21" ht="15" collapsed="1" x14ac:dyDescent="0.2">
      <c r="A95" s="327" t="s">
        <v>562</v>
      </c>
      <c r="B95" s="327"/>
      <c r="C95" s="87"/>
      <c r="D95" s="88"/>
      <c r="E95" s="80"/>
      <c r="F95" s="79"/>
      <c r="G95" s="79"/>
      <c r="H95" s="79"/>
      <c r="I95" s="79"/>
      <c r="J95" s="79"/>
      <c r="K95" s="79"/>
      <c r="L95" s="79"/>
      <c r="M95" s="79"/>
      <c r="N95" s="95"/>
      <c r="O95" s="95"/>
      <c r="P95" s="95"/>
      <c r="Q95" s="95"/>
      <c r="R95" s="95"/>
      <c r="S95" s="95"/>
      <c r="T95" s="95"/>
      <c r="U95" s="95"/>
    </row>
    <row r="96" spans="1:21" ht="15" x14ac:dyDescent="0.2">
      <c r="A96" s="328" t="s">
        <v>538</v>
      </c>
      <c r="B96" s="328"/>
      <c r="C96" s="79"/>
      <c r="D96" s="80"/>
      <c r="E96" s="80"/>
      <c r="F96" s="79"/>
      <c r="G96" s="79"/>
      <c r="H96" s="79"/>
      <c r="I96" s="79"/>
      <c r="J96" s="79"/>
      <c r="K96" s="79"/>
      <c r="L96" s="79"/>
      <c r="M96" s="79"/>
      <c r="N96" s="97"/>
      <c r="O96" s="97"/>
      <c r="P96" s="97"/>
      <c r="Q96" s="79"/>
      <c r="R96" s="79"/>
      <c r="S96" s="79"/>
      <c r="T96" s="79"/>
      <c r="U96" s="79"/>
    </row>
    <row r="97" spans="1:21" ht="15" hidden="1" outlineLevel="1" x14ac:dyDescent="0.2">
      <c r="A97" s="82"/>
      <c r="B97" s="82" t="s">
        <v>539</v>
      </c>
      <c r="C97" s="79" t="s">
        <v>521</v>
      </c>
      <c r="D97" s="80" t="s">
        <v>522</v>
      </c>
      <c r="E97" s="80">
        <v>3</v>
      </c>
      <c r="F97" s="79"/>
      <c r="G97" s="79"/>
      <c r="H97" s="79"/>
      <c r="I97" s="79"/>
      <c r="J97" s="79"/>
      <c r="K97" s="81"/>
      <c r="L97" s="81"/>
      <c r="M97" s="81"/>
      <c r="N97" s="100"/>
      <c r="O97" s="79"/>
      <c r="P97" s="79"/>
      <c r="Q97" s="79"/>
      <c r="R97" s="79"/>
      <c r="S97" s="79"/>
      <c r="T97" s="79"/>
      <c r="U97" s="79"/>
    </row>
    <row r="98" spans="1:21" ht="15" hidden="1" outlineLevel="1" x14ac:dyDescent="0.2">
      <c r="A98" s="82"/>
      <c r="B98" s="82" t="s">
        <v>540</v>
      </c>
      <c r="C98" s="79" t="s">
        <v>521</v>
      </c>
      <c r="D98" s="80" t="s">
        <v>522</v>
      </c>
      <c r="E98" s="80">
        <v>3</v>
      </c>
      <c r="F98" s="79"/>
      <c r="G98" s="79"/>
      <c r="H98" s="79"/>
      <c r="I98" s="79"/>
      <c r="J98" s="79"/>
      <c r="K98" s="81"/>
      <c r="L98" s="81"/>
      <c r="M98" s="81"/>
      <c r="N98" s="100"/>
      <c r="O98" s="79"/>
      <c r="P98" s="79"/>
      <c r="Q98" s="79"/>
      <c r="R98" s="79"/>
      <c r="S98" s="79"/>
      <c r="T98" s="79"/>
      <c r="U98" s="79"/>
    </row>
    <row r="99" spans="1:21" ht="15" hidden="1" outlineLevel="1" x14ac:dyDescent="0.2">
      <c r="A99" s="82"/>
      <c r="B99" s="82" t="s">
        <v>541</v>
      </c>
      <c r="C99" s="79" t="s">
        <v>521</v>
      </c>
      <c r="D99" s="80" t="s">
        <v>522</v>
      </c>
      <c r="E99" s="80">
        <v>3</v>
      </c>
      <c r="F99" s="79"/>
      <c r="G99" s="79"/>
      <c r="H99" s="79"/>
      <c r="I99" s="79"/>
      <c r="J99" s="79"/>
      <c r="K99" s="81"/>
      <c r="L99" s="81"/>
      <c r="M99" s="81"/>
      <c r="N99" s="79"/>
      <c r="O99" s="100"/>
      <c r="P99" s="79"/>
      <c r="Q99" s="79"/>
      <c r="R99" s="79"/>
      <c r="S99" s="79"/>
      <c r="T99" s="79"/>
      <c r="U99" s="79"/>
    </row>
    <row r="100" spans="1:21" ht="15" hidden="1" outlineLevel="1" x14ac:dyDescent="0.2">
      <c r="A100" s="82"/>
      <c r="B100" s="82" t="s">
        <v>542</v>
      </c>
      <c r="C100" s="79" t="s">
        <v>521</v>
      </c>
      <c r="D100" s="80" t="s">
        <v>522</v>
      </c>
      <c r="E100" s="80">
        <v>3</v>
      </c>
      <c r="F100" s="79"/>
      <c r="G100" s="79"/>
      <c r="H100" s="79"/>
      <c r="I100" s="79"/>
      <c r="J100" s="79"/>
      <c r="K100" s="81"/>
      <c r="L100" s="81"/>
      <c r="M100" s="81"/>
      <c r="N100" s="79"/>
      <c r="O100" s="100"/>
      <c r="P100" s="79"/>
      <c r="Q100" s="79"/>
      <c r="R100" s="79"/>
      <c r="S100" s="79"/>
      <c r="T100" s="79"/>
      <c r="U100" s="79"/>
    </row>
    <row r="101" spans="1:21" ht="15" hidden="1" outlineLevel="1" x14ac:dyDescent="0.2">
      <c r="A101" s="82"/>
      <c r="B101" s="82" t="s">
        <v>543</v>
      </c>
      <c r="C101" s="79" t="s">
        <v>521</v>
      </c>
      <c r="D101" s="80" t="s">
        <v>522</v>
      </c>
      <c r="E101" s="80">
        <v>2</v>
      </c>
      <c r="F101" s="79"/>
      <c r="G101" s="79"/>
      <c r="H101" s="79"/>
      <c r="I101" s="79"/>
      <c r="J101" s="79"/>
      <c r="K101" s="81"/>
      <c r="L101" s="81"/>
      <c r="M101" s="81"/>
      <c r="N101" s="79"/>
      <c r="O101" s="79"/>
      <c r="P101" s="100"/>
      <c r="Q101" s="79"/>
      <c r="R101" s="79"/>
      <c r="S101" s="79"/>
      <c r="T101" s="79"/>
      <c r="U101" s="79"/>
    </row>
    <row r="102" spans="1:21" ht="15" hidden="1" outlineLevel="1" x14ac:dyDescent="0.2">
      <c r="A102" s="82"/>
      <c r="B102" s="82" t="s">
        <v>543</v>
      </c>
      <c r="C102" s="79" t="s">
        <v>521</v>
      </c>
      <c r="D102" s="80" t="s">
        <v>522</v>
      </c>
      <c r="E102" s="80">
        <v>2</v>
      </c>
      <c r="F102" s="79"/>
      <c r="G102" s="79"/>
      <c r="H102" s="79"/>
      <c r="I102" s="79"/>
      <c r="J102" s="79"/>
      <c r="K102" s="81"/>
      <c r="L102" s="81"/>
      <c r="M102" s="81"/>
      <c r="N102" s="79"/>
      <c r="O102" s="79"/>
      <c r="P102" s="100"/>
      <c r="Q102" s="79"/>
      <c r="R102" s="79"/>
      <c r="S102" s="79"/>
      <c r="T102" s="79"/>
      <c r="U102" s="79"/>
    </row>
    <row r="103" spans="1:21" ht="15" collapsed="1" x14ac:dyDescent="0.2">
      <c r="A103" s="328" t="s">
        <v>544</v>
      </c>
      <c r="B103" s="328"/>
      <c r="C103" s="79"/>
      <c r="D103" s="80"/>
      <c r="E103" s="80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97"/>
      <c r="Q103" s="79"/>
      <c r="R103" s="79"/>
      <c r="S103" s="79"/>
      <c r="T103" s="79"/>
      <c r="U103" s="79"/>
    </row>
    <row r="104" spans="1:21" ht="15" hidden="1" outlineLevel="1" x14ac:dyDescent="0.2">
      <c r="A104" s="82"/>
      <c r="B104" s="82" t="s">
        <v>545</v>
      </c>
      <c r="C104" s="79" t="s">
        <v>521</v>
      </c>
      <c r="D104" s="80" t="s">
        <v>522</v>
      </c>
      <c r="E104" s="80">
        <v>2</v>
      </c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100"/>
      <c r="Q104" s="79"/>
      <c r="R104" s="79"/>
      <c r="S104" s="79"/>
      <c r="T104" s="79"/>
      <c r="U104" s="79"/>
    </row>
    <row r="105" spans="1:21" ht="15" hidden="1" outlineLevel="1" x14ac:dyDescent="0.2">
      <c r="A105" s="82"/>
      <c r="B105" s="82" t="s">
        <v>546</v>
      </c>
      <c r="C105" s="79" t="s">
        <v>521</v>
      </c>
      <c r="D105" s="80" t="s">
        <v>522</v>
      </c>
      <c r="E105" s="80">
        <v>2</v>
      </c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100"/>
      <c r="Q105" s="79"/>
      <c r="R105" s="79"/>
      <c r="S105" s="79"/>
      <c r="T105" s="79"/>
      <c r="U105" s="79"/>
    </row>
    <row r="106" spans="1:21" ht="15" hidden="1" outlineLevel="1" x14ac:dyDescent="0.2">
      <c r="A106" s="82"/>
      <c r="B106" s="82" t="s">
        <v>547</v>
      </c>
      <c r="C106" s="79" t="s">
        <v>521</v>
      </c>
      <c r="D106" s="80" t="s">
        <v>522</v>
      </c>
      <c r="E106" s="80">
        <v>2</v>
      </c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100"/>
      <c r="Q106" s="79"/>
      <c r="R106" s="79"/>
      <c r="S106" s="79"/>
      <c r="T106" s="79"/>
      <c r="U106" s="79"/>
    </row>
    <row r="107" spans="1:21" ht="15" collapsed="1" x14ac:dyDescent="0.2">
      <c r="A107" s="328" t="s">
        <v>557</v>
      </c>
      <c r="B107" s="328"/>
      <c r="C107" s="79"/>
      <c r="D107" s="80"/>
      <c r="E107" s="80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97"/>
      <c r="R107" s="97"/>
      <c r="S107" s="79"/>
      <c r="T107" s="79"/>
      <c r="U107" s="79"/>
    </row>
    <row r="108" spans="1:21" ht="15" hidden="1" outlineLevel="1" x14ac:dyDescent="0.2">
      <c r="A108" s="82"/>
      <c r="B108" s="82" t="s">
        <v>563</v>
      </c>
      <c r="C108" s="79" t="s">
        <v>521</v>
      </c>
      <c r="D108" s="80" t="s">
        <v>522</v>
      </c>
      <c r="E108" s="80">
        <v>2</v>
      </c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100"/>
      <c r="R108" s="79"/>
      <c r="S108" s="79"/>
      <c r="T108" s="79"/>
      <c r="U108" s="79"/>
    </row>
    <row r="109" spans="1:21" ht="15" hidden="1" outlineLevel="1" x14ac:dyDescent="0.2">
      <c r="A109" s="82"/>
      <c r="B109" s="82" t="s">
        <v>558</v>
      </c>
      <c r="C109" s="79" t="s">
        <v>521</v>
      </c>
      <c r="D109" s="80" t="s">
        <v>522</v>
      </c>
      <c r="E109" s="80">
        <v>2</v>
      </c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100"/>
      <c r="S109" s="79"/>
      <c r="T109" s="79"/>
      <c r="U109" s="79"/>
    </row>
    <row r="110" spans="1:21" ht="15" hidden="1" outlineLevel="1" x14ac:dyDescent="0.2">
      <c r="A110" s="82"/>
      <c r="B110" s="82" t="s">
        <v>561</v>
      </c>
      <c r="C110" s="79" t="s">
        <v>521</v>
      </c>
      <c r="D110" s="80" t="s">
        <v>522</v>
      </c>
      <c r="E110" s="80">
        <v>2</v>
      </c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100"/>
      <c r="S110" s="79"/>
      <c r="T110" s="79"/>
      <c r="U110" s="79"/>
    </row>
    <row r="111" spans="1:21" ht="15" collapsed="1" x14ac:dyDescent="0.2">
      <c r="A111" s="328" t="s">
        <v>508</v>
      </c>
      <c r="B111" s="328"/>
      <c r="C111" s="79"/>
      <c r="D111" s="80"/>
      <c r="E111" s="80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81"/>
      <c r="S111" s="97"/>
      <c r="T111" s="79"/>
      <c r="U111" s="79"/>
    </row>
    <row r="112" spans="1:21" ht="15" hidden="1" outlineLevel="1" x14ac:dyDescent="0.2">
      <c r="A112" s="82"/>
      <c r="B112" s="82" t="s">
        <v>564</v>
      </c>
      <c r="C112" s="79" t="s">
        <v>521</v>
      </c>
      <c r="D112" s="80" t="s">
        <v>522</v>
      </c>
      <c r="E112" s="80">
        <v>2</v>
      </c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81"/>
      <c r="S112" s="100"/>
      <c r="T112" s="79"/>
      <c r="U112" s="79"/>
    </row>
    <row r="113" spans="1:21" ht="15" hidden="1" outlineLevel="1" x14ac:dyDescent="0.2">
      <c r="A113" s="82"/>
      <c r="B113" s="82" t="s">
        <v>565</v>
      </c>
      <c r="C113" s="79" t="s">
        <v>521</v>
      </c>
      <c r="D113" s="80" t="s">
        <v>522</v>
      </c>
      <c r="E113" s="80">
        <v>2</v>
      </c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81"/>
      <c r="S113" s="100"/>
      <c r="T113" s="79"/>
      <c r="U113" s="79"/>
    </row>
    <row r="114" spans="1:21" ht="15" hidden="1" outlineLevel="1" x14ac:dyDescent="0.2">
      <c r="A114" s="82"/>
      <c r="B114" s="82" t="s">
        <v>566</v>
      </c>
      <c r="C114" s="79" t="s">
        <v>521</v>
      </c>
      <c r="D114" s="80" t="s">
        <v>522</v>
      </c>
      <c r="E114" s="80">
        <v>2</v>
      </c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81"/>
      <c r="S114" s="100"/>
      <c r="T114" s="79"/>
      <c r="U114" s="79"/>
    </row>
    <row r="115" spans="1:21" ht="15" collapsed="1" x14ac:dyDescent="0.2">
      <c r="A115" s="328" t="s">
        <v>492</v>
      </c>
      <c r="B115" s="328"/>
      <c r="C115" s="79"/>
      <c r="D115" s="80"/>
      <c r="E115" s="80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97"/>
      <c r="U115" s="79"/>
    </row>
    <row r="116" spans="1:21" ht="15" hidden="1" outlineLevel="1" x14ac:dyDescent="0.2">
      <c r="A116" s="82"/>
      <c r="B116" s="82" t="s">
        <v>567</v>
      </c>
      <c r="C116" s="79" t="s">
        <v>521</v>
      </c>
      <c r="D116" s="80" t="s">
        <v>522</v>
      </c>
      <c r="E116" s="80">
        <v>2</v>
      </c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100"/>
      <c r="U116" s="79"/>
    </row>
    <row r="117" spans="1:21" ht="15" hidden="1" outlineLevel="1" x14ac:dyDescent="0.2">
      <c r="A117" s="82"/>
      <c r="B117" s="82" t="s">
        <v>568</v>
      </c>
      <c r="C117" s="79" t="s">
        <v>521</v>
      </c>
      <c r="D117" s="80" t="s">
        <v>522</v>
      </c>
      <c r="E117" s="80">
        <v>2</v>
      </c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100"/>
      <c r="U117" s="79"/>
    </row>
    <row r="118" spans="1:21" ht="15" hidden="1" outlineLevel="1" x14ac:dyDescent="0.2">
      <c r="A118" s="82"/>
      <c r="B118" s="82" t="s">
        <v>569</v>
      </c>
      <c r="C118" s="79" t="s">
        <v>521</v>
      </c>
      <c r="D118" s="80" t="s">
        <v>522</v>
      </c>
      <c r="E118" s="80">
        <v>2</v>
      </c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100"/>
      <c r="U118" s="79"/>
    </row>
    <row r="119" spans="1:21" ht="15" collapsed="1" x14ac:dyDescent="0.2">
      <c r="A119" s="328" t="s">
        <v>570</v>
      </c>
      <c r="B119" s="328"/>
      <c r="C119" s="87"/>
      <c r="D119" s="88"/>
      <c r="E119" s="93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95"/>
    </row>
    <row r="120" spans="1:21" ht="15" hidden="1" outlineLevel="1" x14ac:dyDescent="0.2">
      <c r="A120" s="94"/>
      <c r="B120" s="94" t="s">
        <v>571</v>
      </c>
      <c r="C120" s="79" t="s">
        <v>521</v>
      </c>
      <c r="D120" s="80" t="s">
        <v>522</v>
      </c>
      <c r="E120" s="80">
        <v>2</v>
      </c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100"/>
    </row>
    <row r="121" spans="1:21" ht="15" hidden="1" outlineLevel="1" x14ac:dyDescent="0.2">
      <c r="A121" s="94"/>
      <c r="B121" s="94" t="s">
        <v>572</v>
      </c>
      <c r="C121" s="79" t="s">
        <v>521</v>
      </c>
      <c r="D121" s="80" t="s">
        <v>522</v>
      </c>
      <c r="E121" s="80">
        <v>2</v>
      </c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100"/>
    </row>
    <row r="122" spans="1:21" ht="12.75" customHeight="1" collapsed="1" x14ac:dyDescent="0.2"/>
  </sheetData>
  <mergeCells count="22">
    <mergeCell ref="A119:B119"/>
    <mergeCell ref="A1:B1"/>
    <mergeCell ref="A95:B95"/>
    <mergeCell ref="A96:B96"/>
    <mergeCell ref="A103:B103"/>
    <mergeCell ref="A107:B107"/>
    <mergeCell ref="A111:B111"/>
    <mergeCell ref="A115:B115"/>
    <mergeCell ref="A58:B58"/>
    <mergeCell ref="A71:B71"/>
    <mergeCell ref="A77:B77"/>
    <mergeCell ref="A90:B90"/>
    <mergeCell ref="A31:B31"/>
    <mergeCell ref="A36:B36"/>
    <mergeCell ref="A37:B37"/>
    <mergeCell ref="A47:B47"/>
    <mergeCell ref="A51:B51"/>
    <mergeCell ref="A55:B55"/>
    <mergeCell ref="A2:B2"/>
    <mergeCell ref="A12:B12"/>
    <mergeCell ref="A21:B21"/>
    <mergeCell ref="A26:B2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-0.249977111117893"/>
    <pageSetUpPr fitToPage="1"/>
  </sheetPr>
  <dimension ref="A1:AMN65536"/>
  <sheetViews>
    <sheetView tabSelected="1" zoomScale="70" zoomScaleNormal="70" workbookViewId="0">
      <selection activeCell="B36" sqref="B36"/>
    </sheetView>
  </sheetViews>
  <sheetFormatPr defaultColWidth="9.140625" defaultRowHeight="12.75" x14ac:dyDescent="0.2"/>
  <cols>
    <col min="1" max="1" width="5" style="102" customWidth="1"/>
    <col min="2" max="2" width="40.7109375" style="104" customWidth="1"/>
    <col min="3" max="3" width="9.140625" style="104" customWidth="1"/>
    <col min="4" max="4" width="11.5703125" style="104" customWidth="1"/>
    <col min="5" max="6" width="9.140625" style="105" customWidth="1"/>
    <col min="7" max="7" width="10" style="105" customWidth="1"/>
    <col min="8" max="8" width="11" style="110" customWidth="1"/>
    <col min="9" max="10" width="9.140625" style="110" customWidth="1"/>
    <col min="11" max="11" width="10.140625" style="105" customWidth="1"/>
    <col min="12" max="12" width="10.5703125" style="110" customWidth="1"/>
    <col min="13" max="14" width="9.140625" style="110" customWidth="1"/>
    <col min="15" max="15" width="10.140625" style="105" customWidth="1"/>
    <col min="16" max="16" width="10.7109375" style="110" customWidth="1"/>
    <col min="17" max="18" width="9.140625" style="110" customWidth="1"/>
    <col min="19" max="19" width="10.5703125" style="105" customWidth="1"/>
    <col min="20" max="20" width="10.5703125" style="110" customWidth="1"/>
    <col min="21" max="22" width="9.140625" style="110"/>
    <col min="23" max="23" width="10.5703125" style="105" customWidth="1"/>
    <col min="24" max="24" width="10.5703125" style="110" customWidth="1"/>
    <col min="25" max="26" width="9.140625" style="110"/>
    <col min="27" max="27" width="18.85546875" style="105" customWidth="1"/>
    <col min="28" max="28" width="18.28515625" style="110" customWidth="1"/>
    <col min="29" max="29" width="16.42578125" style="110" customWidth="1"/>
    <col min="30" max="1028" width="9.140625" style="110"/>
    <col min="1029" max="16384" width="9.140625" style="199"/>
  </cols>
  <sheetData>
    <row r="1" spans="1:29" s="110" customFormat="1" ht="18.75" customHeight="1" thickTop="1" thickBot="1" x14ac:dyDescent="0.35">
      <c r="A1" s="102"/>
      <c r="B1" s="103" t="s">
        <v>574</v>
      </c>
      <c r="C1" s="104"/>
      <c r="D1" s="104"/>
      <c r="E1" s="105"/>
      <c r="F1" s="105"/>
      <c r="G1" s="106" t="s">
        <v>575</v>
      </c>
      <c r="H1" s="107"/>
      <c r="I1" s="108" t="s">
        <v>576</v>
      </c>
      <c r="J1" s="109" t="s">
        <v>297</v>
      </c>
      <c r="K1" s="105"/>
      <c r="L1" s="331" t="s">
        <v>577</v>
      </c>
      <c r="M1" s="331"/>
      <c r="N1" s="331"/>
      <c r="O1" s="331"/>
      <c r="P1" s="331"/>
      <c r="Q1" s="331"/>
      <c r="S1" s="105"/>
      <c r="W1" s="105"/>
      <c r="AA1" s="105"/>
    </row>
    <row r="2" spans="1:29" s="110" customFormat="1" ht="18" customHeight="1" thickTop="1" x14ac:dyDescent="0.3">
      <c r="A2" s="102"/>
      <c r="B2" s="104"/>
      <c r="C2" s="104"/>
      <c r="D2" s="111"/>
      <c r="E2" s="105"/>
      <c r="F2" s="105"/>
      <c r="G2" s="112" t="s">
        <v>578</v>
      </c>
      <c r="H2" s="105" t="s">
        <v>579</v>
      </c>
      <c r="I2" s="113" t="s">
        <v>580</v>
      </c>
      <c r="J2" s="114" t="s">
        <v>581</v>
      </c>
      <c r="K2" s="105"/>
      <c r="L2" s="115" t="s">
        <v>582</v>
      </c>
      <c r="M2" s="116"/>
      <c r="N2" s="115" t="s">
        <v>583</v>
      </c>
      <c r="O2" s="117"/>
      <c r="P2" s="116"/>
      <c r="Q2" s="118"/>
      <c r="S2" s="105"/>
      <c r="W2" s="105"/>
      <c r="AA2" s="105"/>
    </row>
    <row r="3" spans="1:29" s="110" customFormat="1" ht="18.75" customHeight="1" thickBot="1" x14ac:dyDescent="0.35">
      <c r="A3" s="102"/>
      <c r="B3" s="104"/>
      <c r="C3" s="104"/>
      <c r="D3" s="111"/>
      <c r="E3" s="105"/>
      <c r="F3" s="105"/>
      <c r="G3" s="119" t="s">
        <v>584</v>
      </c>
      <c r="H3" s="120" t="s">
        <v>585</v>
      </c>
      <c r="I3" s="121" t="s">
        <v>586</v>
      </c>
      <c r="J3" s="122" t="s">
        <v>321</v>
      </c>
      <c r="K3" s="105"/>
      <c r="L3" s="123" t="s">
        <v>587</v>
      </c>
      <c r="M3" s="124"/>
      <c r="N3" s="123" t="s">
        <v>588</v>
      </c>
      <c r="O3" s="125"/>
      <c r="P3" s="124"/>
      <c r="Q3" s="126"/>
      <c r="S3" s="105"/>
      <c r="W3" s="105"/>
      <c r="AA3" s="105"/>
    </row>
    <row r="4" spans="1:29" s="110" customFormat="1" ht="18" customHeight="1" thickTop="1" x14ac:dyDescent="0.3">
      <c r="A4" s="102"/>
      <c r="B4" s="104"/>
      <c r="C4" s="104"/>
      <c r="D4" s="111"/>
      <c r="E4" s="105"/>
      <c r="F4" s="105"/>
      <c r="G4" s="105"/>
      <c r="K4" s="105"/>
      <c r="O4" s="105"/>
      <c r="S4" s="105"/>
      <c r="U4" s="105"/>
      <c r="W4" s="105"/>
      <c r="Y4" s="105"/>
      <c r="AA4" s="105"/>
      <c r="AC4" s="105"/>
    </row>
    <row r="6" spans="1:29" s="110" customFormat="1" ht="1.5" customHeight="1" thickBot="1" x14ac:dyDescent="0.25">
      <c r="A6" s="102"/>
      <c r="B6" s="104"/>
      <c r="C6" s="104"/>
      <c r="D6" s="104"/>
      <c r="E6" s="105"/>
      <c r="F6" s="105"/>
      <c r="G6" s="105"/>
      <c r="K6" s="105"/>
      <c r="O6" s="105"/>
      <c r="S6" s="105"/>
      <c r="W6" s="105"/>
      <c r="AA6" s="105"/>
    </row>
    <row r="7" spans="1:29" s="110" customFormat="1" ht="12.75" customHeight="1" thickTop="1" thickBot="1" x14ac:dyDescent="0.25">
      <c r="A7" s="127"/>
      <c r="B7" s="128"/>
      <c r="C7" s="129"/>
      <c r="D7" s="332" t="s">
        <v>589</v>
      </c>
      <c r="E7" s="332"/>
      <c r="F7" s="332"/>
      <c r="G7" s="332" t="s">
        <v>590</v>
      </c>
      <c r="H7" s="332"/>
      <c r="I7" s="332"/>
      <c r="J7" s="332"/>
      <c r="K7" s="333" t="s">
        <v>591</v>
      </c>
      <c r="L7" s="333"/>
      <c r="M7" s="333"/>
      <c r="N7" s="333"/>
      <c r="O7" s="332" t="s">
        <v>592</v>
      </c>
      <c r="P7" s="332"/>
      <c r="Q7" s="332"/>
      <c r="R7" s="332"/>
      <c r="S7" s="332" t="s">
        <v>593</v>
      </c>
      <c r="T7" s="332"/>
      <c r="U7" s="332"/>
      <c r="V7" s="332"/>
      <c r="W7" s="332" t="s">
        <v>672</v>
      </c>
      <c r="X7" s="332"/>
      <c r="Y7" s="332"/>
      <c r="Z7" s="332"/>
      <c r="AA7" s="332" t="s">
        <v>594</v>
      </c>
      <c r="AB7" s="332"/>
      <c r="AC7" s="332"/>
    </row>
    <row r="8" spans="1:29" s="110" customFormat="1" ht="51.75" thickBot="1" x14ac:dyDescent="0.25">
      <c r="A8" s="130"/>
      <c r="B8" s="131" t="s">
        <v>595</v>
      </c>
      <c r="C8" s="132" t="s">
        <v>596</v>
      </c>
      <c r="D8" s="133" t="s">
        <v>597</v>
      </c>
      <c r="E8" s="134" t="s">
        <v>598</v>
      </c>
      <c r="F8" s="135" t="s">
        <v>599</v>
      </c>
      <c r="G8" s="136" t="s">
        <v>600</v>
      </c>
      <c r="H8" s="137" t="s">
        <v>601</v>
      </c>
      <c r="I8" s="137" t="s">
        <v>602</v>
      </c>
      <c r="J8" s="138" t="s">
        <v>603</v>
      </c>
      <c r="K8" s="136" t="s">
        <v>600</v>
      </c>
      <c r="L8" s="137" t="s">
        <v>601</v>
      </c>
      <c r="M8" s="137" t="s">
        <v>602</v>
      </c>
      <c r="N8" s="138" t="s">
        <v>603</v>
      </c>
      <c r="O8" s="136" t="s">
        <v>600</v>
      </c>
      <c r="P8" s="137" t="s">
        <v>601</v>
      </c>
      <c r="Q8" s="137" t="s">
        <v>602</v>
      </c>
      <c r="R8" s="138" t="s">
        <v>603</v>
      </c>
      <c r="S8" s="136" t="s">
        <v>600</v>
      </c>
      <c r="T8" s="137" t="s">
        <v>601</v>
      </c>
      <c r="U8" s="137" t="s">
        <v>602</v>
      </c>
      <c r="V8" s="138" t="s">
        <v>603</v>
      </c>
      <c r="W8" s="136" t="s">
        <v>600</v>
      </c>
      <c r="X8" s="137" t="s">
        <v>601</v>
      </c>
      <c r="Y8" s="137" t="s">
        <v>602</v>
      </c>
      <c r="Z8" s="138" t="s">
        <v>603</v>
      </c>
      <c r="AA8" s="136" t="s">
        <v>604</v>
      </c>
      <c r="AB8" s="137" t="s">
        <v>19</v>
      </c>
      <c r="AC8" s="138" t="s">
        <v>605</v>
      </c>
    </row>
    <row r="9" spans="1:29" s="110" customFormat="1" ht="15" customHeight="1" thickBot="1" x14ac:dyDescent="0.25">
      <c r="A9" s="130"/>
      <c r="B9" s="139" t="s">
        <v>606</v>
      </c>
      <c r="C9" s="140"/>
      <c r="D9" s="141" t="s">
        <v>50</v>
      </c>
      <c r="E9" s="142" t="s">
        <v>50</v>
      </c>
      <c r="F9" s="142" t="s">
        <v>607</v>
      </c>
      <c r="G9" s="141" t="s">
        <v>50</v>
      </c>
      <c r="H9" s="142" t="s">
        <v>607</v>
      </c>
      <c r="I9" s="142" t="s">
        <v>50</v>
      </c>
      <c r="J9" s="143" t="s">
        <v>607</v>
      </c>
      <c r="K9" s="142" t="s">
        <v>50</v>
      </c>
      <c r="L9" s="142" t="s">
        <v>607</v>
      </c>
      <c r="M9" s="142" t="s">
        <v>50</v>
      </c>
      <c r="N9" s="143" t="s">
        <v>607</v>
      </c>
      <c r="O9" s="141" t="s">
        <v>50</v>
      </c>
      <c r="P9" s="142" t="s">
        <v>607</v>
      </c>
      <c r="Q9" s="142" t="s">
        <v>608</v>
      </c>
      <c r="R9" s="143" t="s">
        <v>607</v>
      </c>
      <c r="S9" s="141" t="s">
        <v>50</v>
      </c>
      <c r="T9" s="142" t="s">
        <v>607</v>
      </c>
      <c r="U9" s="142" t="s">
        <v>607</v>
      </c>
      <c r="V9" s="143" t="s">
        <v>607</v>
      </c>
      <c r="W9" s="141" t="s">
        <v>50</v>
      </c>
      <c r="X9" s="142" t="s">
        <v>607</v>
      </c>
      <c r="Y9" s="142" t="s">
        <v>607</v>
      </c>
      <c r="Z9" s="143" t="s">
        <v>607</v>
      </c>
      <c r="AA9" s="141"/>
      <c r="AB9" s="142"/>
      <c r="AC9" s="143"/>
    </row>
    <row r="10" spans="1:29" s="110" customFormat="1" ht="12.75" customHeight="1" thickBot="1" x14ac:dyDescent="0.25">
      <c r="A10" s="144" t="s">
        <v>609</v>
      </c>
      <c r="B10" s="145" t="s">
        <v>610</v>
      </c>
      <c r="C10" s="145"/>
      <c r="D10" s="145"/>
      <c r="E10" s="145"/>
      <c r="F10" s="145"/>
      <c r="G10" s="334" t="s">
        <v>611</v>
      </c>
      <c r="H10" s="334"/>
      <c r="I10" s="334" t="s">
        <v>612</v>
      </c>
      <c r="J10" s="334"/>
      <c r="K10" s="334" t="s">
        <v>611</v>
      </c>
      <c r="L10" s="334"/>
      <c r="M10" s="334" t="s">
        <v>612</v>
      </c>
      <c r="N10" s="334"/>
      <c r="O10" s="334" t="s">
        <v>611</v>
      </c>
      <c r="P10" s="334"/>
      <c r="Q10" s="334" t="s">
        <v>612</v>
      </c>
      <c r="R10" s="334"/>
      <c r="S10" s="334" t="s">
        <v>611</v>
      </c>
      <c r="T10" s="334"/>
      <c r="U10" s="335" t="s">
        <v>613</v>
      </c>
      <c r="V10" s="335"/>
      <c r="W10" s="334" t="s">
        <v>611</v>
      </c>
      <c r="X10" s="334"/>
      <c r="Y10" s="335" t="s">
        <v>612</v>
      </c>
      <c r="Z10" s="335"/>
      <c r="AA10" s="336"/>
      <c r="AB10" s="334"/>
      <c r="AC10" s="146"/>
    </row>
    <row r="11" spans="1:29" s="110" customFormat="1" ht="12.75" customHeight="1" x14ac:dyDescent="0.2">
      <c r="A11" s="130">
        <v>1</v>
      </c>
      <c r="B11" s="131" t="s">
        <v>240</v>
      </c>
      <c r="C11" s="147"/>
      <c r="D11" s="148"/>
      <c r="E11" s="149"/>
      <c r="F11" s="150"/>
      <c r="G11" s="151"/>
      <c r="H11" s="152"/>
      <c r="I11" s="152"/>
      <c r="J11" s="153"/>
      <c r="K11" s="151"/>
      <c r="L11" s="152"/>
      <c r="M11" s="152"/>
      <c r="N11" s="153"/>
      <c r="O11" s="151"/>
      <c r="P11" s="154"/>
      <c r="Q11" s="154"/>
      <c r="R11" s="155"/>
      <c r="S11" s="151"/>
      <c r="T11" s="154"/>
      <c r="U11" s="154"/>
      <c r="V11" s="155"/>
      <c r="W11" s="151"/>
      <c r="X11" s="154"/>
      <c r="Y11" s="154"/>
      <c r="Z11" s="155"/>
      <c r="AA11" s="151"/>
      <c r="AB11" s="154"/>
      <c r="AC11" s="155"/>
    </row>
    <row r="12" spans="1:29" s="110" customFormat="1" ht="12.75" customHeight="1" x14ac:dyDescent="0.2">
      <c r="A12" s="130"/>
      <c r="B12" s="156" t="s">
        <v>614</v>
      </c>
      <c r="C12" s="147" t="s">
        <v>615</v>
      </c>
      <c r="D12" s="148"/>
      <c r="E12" s="157"/>
      <c r="F12" s="158"/>
      <c r="G12" s="148"/>
      <c r="H12" s="159"/>
      <c r="I12" s="159"/>
      <c r="J12" s="160"/>
      <c r="K12" s="148"/>
      <c r="L12" s="159"/>
      <c r="M12" s="159"/>
      <c r="N12" s="160"/>
      <c r="O12" s="148"/>
      <c r="P12" s="159"/>
      <c r="Q12" s="159"/>
      <c r="R12" s="159"/>
      <c r="S12" s="148"/>
      <c r="T12" s="159"/>
      <c r="U12" s="159"/>
      <c r="V12" s="159"/>
      <c r="W12" s="161"/>
      <c r="X12" s="162"/>
      <c r="Y12" s="162"/>
      <c r="Z12" s="162"/>
      <c r="AA12" s="151"/>
      <c r="AB12" s="154"/>
      <c r="AC12" s="155"/>
    </row>
    <row r="13" spans="1:29" s="110" customFormat="1" ht="12.75" customHeight="1" x14ac:dyDescent="0.2">
      <c r="A13" s="130"/>
      <c r="B13" s="156" t="s">
        <v>616</v>
      </c>
      <c r="C13" s="147" t="s">
        <v>615</v>
      </c>
      <c r="D13" s="148"/>
      <c r="E13" s="157"/>
      <c r="F13" s="158"/>
      <c r="G13" s="148"/>
      <c r="H13" s="159"/>
      <c r="I13" s="159"/>
      <c r="J13" s="160"/>
      <c r="K13" s="148"/>
      <c r="L13" s="159"/>
      <c r="M13" s="159"/>
      <c r="N13" s="160"/>
      <c r="O13" s="148"/>
      <c r="P13" s="159"/>
      <c r="Q13" s="159"/>
      <c r="R13" s="159"/>
      <c r="S13" s="148"/>
      <c r="T13" s="159"/>
      <c r="U13" s="159"/>
      <c r="V13" s="159"/>
      <c r="W13" s="161"/>
      <c r="X13" s="162"/>
      <c r="Y13" s="162"/>
      <c r="Z13" s="162"/>
      <c r="AA13" s="151"/>
      <c r="AB13" s="154"/>
      <c r="AC13" s="155"/>
    </row>
    <row r="14" spans="1:29" s="110" customFormat="1" ht="12.75" customHeight="1" x14ac:dyDescent="0.2">
      <c r="A14" s="130"/>
      <c r="B14" s="156" t="s">
        <v>617</v>
      </c>
      <c r="C14" s="147" t="s">
        <v>615</v>
      </c>
      <c r="D14" s="148"/>
      <c r="E14" s="157"/>
      <c r="F14" s="158"/>
      <c r="G14" s="163"/>
      <c r="H14" s="164"/>
      <c r="I14" s="164"/>
      <c r="J14" s="165"/>
      <c r="K14" s="148"/>
      <c r="L14" s="159"/>
      <c r="M14" s="159"/>
      <c r="N14" s="160"/>
      <c r="O14" s="148"/>
      <c r="P14" s="158"/>
      <c r="Q14" s="158"/>
      <c r="R14" s="158"/>
      <c r="S14" s="163"/>
      <c r="T14" s="164"/>
      <c r="U14" s="164"/>
      <c r="V14" s="165"/>
      <c r="W14" s="163"/>
      <c r="X14" s="164"/>
      <c r="Y14" s="164"/>
      <c r="Z14" s="165"/>
      <c r="AA14" s="151"/>
      <c r="AB14" s="154"/>
      <c r="AC14" s="155"/>
    </row>
    <row r="15" spans="1:29" s="110" customFormat="1" ht="12.75" customHeight="1" thickBot="1" x14ac:dyDescent="0.25">
      <c r="A15" s="166"/>
      <c r="B15" s="167" t="s">
        <v>618</v>
      </c>
      <c r="C15" s="168" t="s">
        <v>615</v>
      </c>
      <c r="D15" s="169"/>
      <c r="E15" s="170"/>
      <c r="F15" s="171"/>
      <c r="G15" s="172"/>
      <c r="H15" s="173"/>
      <c r="I15" s="173"/>
      <c r="J15" s="174"/>
      <c r="K15" s="169"/>
      <c r="L15" s="175"/>
      <c r="M15" s="175"/>
      <c r="N15" s="176"/>
      <c r="O15" s="169"/>
      <c r="P15" s="171"/>
      <c r="Q15" s="171"/>
      <c r="R15" s="171"/>
      <c r="S15" s="172"/>
      <c r="T15" s="173"/>
      <c r="U15" s="173"/>
      <c r="V15" s="174"/>
      <c r="W15" s="172"/>
      <c r="X15" s="173"/>
      <c r="Y15" s="173"/>
      <c r="Z15" s="174"/>
      <c r="AA15" s="177"/>
      <c r="AB15" s="178"/>
      <c r="AC15" s="179"/>
    </row>
    <row r="16" spans="1:29" s="110" customFormat="1" ht="12.75" customHeight="1" x14ac:dyDescent="0.2">
      <c r="A16" s="130">
        <v>2</v>
      </c>
      <c r="B16" s="131" t="s">
        <v>619</v>
      </c>
      <c r="C16" s="147"/>
      <c r="D16" s="148"/>
      <c r="E16" s="149"/>
      <c r="F16" s="180"/>
      <c r="G16" s="181"/>
      <c r="H16" s="182"/>
      <c r="I16" s="182"/>
      <c r="J16" s="183"/>
      <c r="K16" s="151"/>
      <c r="L16" s="154"/>
      <c r="M16" s="154"/>
      <c r="N16" s="155"/>
      <c r="O16" s="151"/>
      <c r="P16" s="154"/>
      <c r="Q16" s="154" t="s">
        <v>620</v>
      </c>
      <c r="R16" s="155"/>
      <c r="S16" s="181"/>
      <c r="T16" s="182"/>
      <c r="U16" s="182"/>
      <c r="V16" s="183"/>
      <c r="W16" s="181"/>
      <c r="X16" s="182"/>
      <c r="Y16" s="182"/>
      <c r="Z16" s="183"/>
      <c r="AA16" s="151"/>
      <c r="AB16" s="154"/>
      <c r="AC16" s="155"/>
    </row>
    <row r="17" spans="1:29" s="110" customFormat="1" ht="12.75" customHeight="1" x14ac:dyDescent="0.2">
      <c r="A17" s="130"/>
      <c r="B17" s="156" t="s">
        <v>621</v>
      </c>
      <c r="C17" s="147" t="s">
        <v>615</v>
      </c>
      <c r="D17" s="148"/>
      <c r="E17" s="149"/>
      <c r="F17" s="158"/>
      <c r="G17" s="148"/>
      <c r="H17" s="159"/>
      <c r="I17" s="159"/>
      <c r="J17" s="160"/>
      <c r="K17" s="148"/>
      <c r="L17" s="159"/>
      <c r="M17" s="159"/>
      <c r="N17" s="160"/>
      <c r="O17" s="148"/>
      <c r="P17" s="159"/>
      <c r="Q17" s="159"/>
      <c r="R17" s="158"/>
      <c r="S17" s="148"/>
      <c r="T17" s="159"/>
      <c r="U17" s="159"/>
      <c r="V17" s="159"/>
      <c r="W17" s="161"/>
      <c r="X17" s="162"/>
      <c r="Y17" s="162"/>
      <c r="Z17" s="162"/>
      <c r="AA17" s="151"/>
      <c r="AB17" s="154"/>
      <c r="AC17" s="155"/>
    </row>
    <row r="18" spans="1:29" s="110" customFormat="1" ht="12.75" customHeight="1" thickBot="1" x14ac:dyDescent="0.25">
      <c r="A18" s="166"/>
      <c r="B18" s="167" t="s">
        <v>622</v>
      </c>
      <c r="C18" s="168" t="s">
        <v>615</v>
      </c>
      <c r="D18" s="169"/>
      <c r="E18" s="184"/>
      <c r="F18" s="171"/>
      <c r="G18" s="172"/>
      <c r="H18" s="173"/>
      <c r="I18" s="173"/>
      <c r="J18" s="174"/>
      <c r="K18" s="169"/>
      <c r="L18" s="175"/>
      <c r="M18" s="175"/>
      <c r="N18" s="176"/>
      <c r="O18" s="169"/>
      <c r="P18" s="171"/>
      <c r="Q18" s="171"/>
      <c r="R18" s="185"/>
      <c r="S18" s="172"/>
      <c r="T18" s="173"/>
      <c r="U18" s="173"/>
      <c r="V18" s="174"/>
      <c r="W18" s="172"/>
      <c r="X18" s="173"/>
      <c r="Y18" s="173"/>
      <c r="Z18" s="174"/>
      <c r="AA18" s="177"/>
      <c r="AB18" s="178"/>
      <c r="AC18" s="179"/>
    </row>
    <row r="19" spans="1:29" s="110" customFormat="1" ht="12.75" customHeight="1" x14ac:dyDescent="0.2">
      <c r="A19" s="130">
        <v>3</v>
      </c>
      <c r="B19" s="131" t="s">
        <v>623</v>
      </c>
      <c r="C19" s="147"/>
      <c r="D19" s="148"/>
      <c r="E19" s="149"/>
      <c r="F19" s="180"/>
      <c r="G19" s="181"/>
      <c r="H19" s="182"/>
      <c r="I19" s="182"/>
      <c r="J19" s="183"/>
      <c r="K19" s="151"/>
      <c r="L19" s="154"/>
      <c r="M19" s="154"/>
      <c r="N19" s="155"/>
      <c r="O19" s="151"/>
      <c r="P19" s="154"/>
      <c r="Q19" s="154"/>
      <c r="R19" s="155"/>
      <c r="S19" s="181"/>
      <c r="T19" s="182"/>
      <c r="U19" s="182"/>
      <c r="V19" s="183"/>
      <c r="W19" s="181"/>
      <c r="X19" s="182"/>
      <c r="Y19" s="182"/>
      <c r="Z19" s="183"/>
      <c r="AA19" s="151"/>
      <c r="AB19" s="154"/>
      <c r="AC19" s="155"/>
    </row>
    <row r="20" spans="1:29" s="110" customFormat="1" ht="12.75" customHeight="1" x14ac:dyDescent="0.2">
      <c r="A20" s="130"/>
      <c r="B20" s="156" t="s">
        <v>621</v>
      </c>
      <c r="C20" s="147" t="s">
        <v>615</v>
      </c>
      <c r="D20" s="148"/>
      <c r="E20" s="149"/>
      <c r="F20" s="158"/>
      <c r="G20" s="148"/>
      <c r="H20" s="159"/>
      <c r="I20" s="159"/>
      <c r="J20" s="160"/>
      <c r="K20" s="148"/>
      <c r="L20" s="159"/>
      <c r="M20" s="159"/>
      <c r="N20" s="160"/>
      <c r="O20" s="148"/>
      <c r="P20" s="159"/>
      <c r="Q20" s="159"/>
      <c r="R20" s="158"/>
      <c r="S20" s="148"/>
      <c r="T20" s="159"/>
      <c r="U20" s="159"/>
      <c r="V20" s="159"/>
      <c r="W20" s="148"/>
      <c r="X20" s="159"/>
      <c r="Y20" s="159"/>
      <c r="Z20" s="159"/>
      <c r="AA20" s="151"/>
      <c r="AB20" s="154"/>
      <c r="AC20" s="155"/>
    </row>
    <row r="21" spans="1:29" s="110" customFormat="1" ht="12.75" customHeight="1" thickBot="1" x14ac:dyDescent="0.25">
      <c r="A21" s="166"/>
      <c r="B21" s="167" t="s">
        <v>622</v>
      </c>
      <c r="C21" s="168" t="s">
        <v>615</v>
      </c>
      <c r="D21" s="169"/>
      <c r="E21" s="184"/>
      <c r="F21" s="171"/>
      <c r="G21" s="172"/>
      <c r="H21" s="173"/>
      <c r="I21" s="173"/>
      <c r="J21" s="174"/>
      <c r="K21" s="169"/>
      <c r="L21" s="175"/>
      <c r="M21" s="175"/>
      <c r="N21" s="176"/>
      <c r="O21" s="169"/>
      <c r="P21" s="171"/>
      <c r="Q21" s="171"/>
      <c r="R21" s="185"/>
      <c r="S21" s="172"/>
      <c r="T21" s="173"/>
      <c r="U21" s="173"/>
      <c r="V21" s="174"/>
      <c r="W21" s="172"/>
      <c r="X21" s="173"/>
      <c r="Y21" s="173"/>
      <c r="Z21" s="174"/>
      <c r="AA21" s="177"/>
      <c r="AB21" s="178"/>
      <c r="AC21" s="179"/>
    </row>
    <row r="22" spans="1:29" s="110" customFormat="1" ht="12.75" customHeight="1" x14ac:dyDescent="0.2">
      <c r="A22" s="130">
        <v>4</v>
      </c>
      <c r="B22" s="131" t="s">
        <v>624</v>
      </c>
      <c r="C22" s="147"/>
      <c r="D22" s="148"/>
      <c r="E22" s="149"/>
      <c r="F22" s="180"/>
      <c r="G22" s="181"/>
      <c r="H22" s="182"/>
      <c r="I22" s="182"/>
      <c r="J22" s="183"/>
      <c r="K22" s="151"/>
      <c r="L22" s="154"/>
      <c r="M22" s="154"/>
      <c r="N22" s="155"/>
      <c r="O22" s="151"/>
      <c r="P22" s="154"/>
      <c r="Q22" s="154"/>
      <c r="R22" s="155"/>
      <c r="S22" s="181"/>
      <c r="T22" s="182"/>
      <c r="U22" s="182"/>
      <c r="V22" s="183"/>
      <c r="W22" s="181"/>
      <c r="X22" s="182"/>
      <c r="Y22" s="182"/>
      <c r="Z22" s="183"/>
      <c r="AA22" s="151"/>
      <c r="AB22" s="154"/>
      <c r="AC22" s="155"/>
    </row>
    <row r="23" spans="1:29" s="110" customFormat="1" ht="12.75" customHeight="1" x14ac:dyDescent="0.2">
      <c r="A23" s="130"/>
      <c r="B23" s="156" t="s">
        <v>621</v>
      </c>
      <c r="C23" s="147" t="s">
        <v>615</v>
      </c>
      <c r="D23" s="148"/>
      <c r="E23" s="149"/>
      <c r="F23" s="158"/>
      <c r="G23" s="148"/>
      <c r="H23" s="159"/>
      <c r="I23" s="159"/>
      <c r="J23" s="160"/>
      <c r="K23" s="148"/>
      <c r="L23" s="159"/>
      <c r="M23" s="159"/>
      <c r="N23" s="160"/>
      <c r="O23" s="148"/>
      <c r="P23" s="158"/>
      <c r="Q23" s="158"/>
      <c r="R23" s="158"/>
      <c r="S23" s="148"/>
      <c r="T23" s="159"/>
      <c r="U23" s="159"/>
      <c r="V23" s="159"/>
      <c r="W23" s="148"/>
      <c r="X23" s="159"/>
      <c r="Y23" s="159"/>
      <c r="Z23" s="159"/>
      <c r="AA23" s="151"/>
      <c r="AB23" s="154"/>
      <c r="AC23" s="155"/>
    </row>
    <row r="24" spans="1:29" s="110" customFormat="1" ht="12.75" customHeight="1" thickBot="1" x14ac:dyDescent="0.25">
      <c r="A24" s="166"/>
      <c r="B24" s="167" t="s">
        <v>622</v>
      </c>
      <c r="C24" s="168" t="s">
        <v>615</v>
      </c>
      <c r="D24" s="169"/>
      <c r="E24" s="184"/>
      <c r="F24" s="171"/>
      <c r="G24" s="172"/>
      <c r="H24" s="173"/>
      <c r="I24" s="173"/>
      <c r="J24" s="174"/>
      <c r="K24" s="169"/>
      <c r="L24" s="175"/>
      <c r="M24" s="175"/>
      <c r="N24" s="176"/>
      <c r="O24" s="169"/>
      <c r="P24" s="171"/>
      <c r="Q24" s="171"/>
      <c r="R24" s="171"/>
      <c r="S24" s="172"/>
      <c r="T24" s="173"/>
      <c r="U24" s="173"/>
      <c r="V24" s="174"/>
      <c r="W24" s="172"/>
      <c r="X24" s="173"/>
      <c r="Y24" s="173"/>
      <c r="Z24" s="174"/>
      <c r="AA24" s="177"/>
      <c r="AB24" s="178"/>
      <c r="AC24" s="179"/>
    </row>
    <row r="25" spans="1:29" s="110" customFormat="1" ht="12.75" customHeight="1" x14ac:dyDescent="0.2">
      <c r="A25" s="130">
        <v>5</v>
      </c>
      <c r="B25" s="131" t="s">
        <v>625</v>
      </c>
      <c r="C25" s="147"/>
      <c r="D25" s="148"/>
      <c r="E25" s="149"/>
      <c r="F25" s="180"/>
      <c r="G25" s="181"/>
      <c r="H25" s="182"/>
      <c r="I25" s="182"/>
      <c r="J25" s="183"/>
      <c r="K25" s="151"/>
      <c r="L25" s="154"/>
      <c r="M25" s="154"/>
      <c r="N25" s="155"/>
      <c r="O25" s="151"/>
      <c r="P25" s="154"/>
      <c r="Q25" s="154"/>
      <c r="R25" s="155"/>
      <c r="S25" s="181"/>
      <c r="T25" s="182"/>
      <c r="U25" s="182"/>
      <c r="V25" s="183"/>
      <c r="W25" s="181"/>
      <c r="X25" s="182"/>
      <c r="Y25" s="182"/>
      <c r="Z25" s="183"/>
      <c r="AA25" s="151"/>
      <c r="AB25" s="154"/>
      <c r="AC25" s="155"/>
    </row>
    <row r="26" spans="1:29" s="110" customFormat="1" ht="12.75" customHeight="1" x14ac:dyDescent="0.2">
      <c r="A26" s="130"/>
      <c r="B26" s="156" t="s">
        <v>621</v>
      </c>
      <c r="C26" s="147" t="s">
        <v>626</v>
      </c>
      <c r="D26" s="148"/>
      <c r="E26" s="149"/>
      <c r="F26" s="158"/>
      <c r="G26" s="148"/>
      <c r="H26" s="159"/>
      <c r="I26" s="159"/>
      <c r="J26" s="160"/>
      <c r="K26" s="148"/>
      <c r="L26" s="159"/>
      <c r="M26" s="159"/>
      <c r="N26" s="160"/>
      <c r="O26" s="148"/>
      <c r="P26" s="158"/>
      <c r="Q26" s="158"/>
      <c r="R26" s="158"/>
      <c r="S26" s="148"/>
      <c r="T26" s="159"/>
      <c r="U26" s="159"/>
      <c r="V26" s="159"/>
      <c r="W26" s="148"/>
      <c r="X26" s="159"/>
      <c r="Y26" s="159"/>
      <c r="Z26" s="159"/>
      <c r="AA26" s="151"/>
      <c r="AB26" s="154"/>
      <c r="AC26" s="155"/>
    </row>
    <row r="27" spans="1:29" s="110" customFormat="1" ht="12.75" customHeight="1" thickBot="1" x14ac:dyDescent="0.25">
      <c r="A27" s="166"/>
      <c r="B27" s="167" t="s">
        <v>622</v>
      </c>
      <c r="C27" s="168" t="s">
        <v>626</v>
      </c>
      <c r="D27" s="169"/>
      <c r="E27" s="184"/>
      <c r="F27" s="171"/>
      <c r="G27" s="172"/>
      <c r="H27" s="173"/>
      <c r="I27" s="173"/>
      <c r="J27" s="174"/>
      <c r="K27" s="169"/>
      <c r="L27" s="175"/>
      <c r="M27" s="175"/>
      <c r="N27" s="176"/>
      <c r="O27" s="169"/>
      <c r="P27" s="171"/>
      <c r="Q27" s="171"/>
      <c r="R27" s="171"/>
      <c r="S27" s="172"/>
      <c r="T27" s="173"/>
      <c r="U27" s="173"/>
      <c r="V27" s="174"/>
      <c r="W27" s="172"/>
      <c r="X27" s="173"/>
      <c r="Y27" s="173"/>
      <c r="Z27" s="174"/>
      <c r="AA27" s="177"/>
      <c r="AB27" s="178"/>
      <c r="AC27" s="179"/>
    </row>
    <row r="28" spans="1:29" s="110" customFormat="1" ht="12.75" customHeight="1" x14ac:dyDescent="0.2">
      <c r="A28" s="130">
        <v>6</v>
      </c>
      <c r="B28" s="131" t="s">
        <v>542</v>
      </c>
      <c r="C28" s="147"/>
      <c r="D28" s="148"/>
      <c r="E28" s="149"/>
      <c r="F28" s="180"/>
      <c r="G28" s="181"/>
      <c r="H28" s="182"/>
      <c r="I28" s="182"/>
      <c r="J28" s="183"/>
      <c r="K28" s="151"/>
      <c r="L28" s="154"/>
      <c r="M28" s="154"/>
      <c r="N28" s="155"/>
      <c r="O28" s="151"/>
      <c r="P28" s="154"/>
      <c r="Q28" s="154"/>
      <c r="R28" s="155"/>
      <c r="S28" s="181"/>
      <c r="T28" s="182"/>
      <c r="U28" s="182"/>
      <c r="V28" s="183"/>
      <c r="W28" s="181"/>
      <c r="X28" s="182"/>
      <c r="Y28" s="182"/>
      <c r="Z28" s="183"/>
      <c r="AA28" s="151"/>
      <c r="AB28" s="154"/>
      <c r="AC28" s="155"/>
    </row>
    <row r="29" spans="1:29" s="110" customFormat="1" ht="12.75" customHeight="1" x14ac:dyDescent="0.2">
      <c r="A29" s="130"/>
      <c r="B29" s="156" t="s">
        <v>621</v>
      </c>
      <c r="C29" s="147" t="s">
        <v>615</v>
      </c>
      <c r="D29" s="148"/>
      <c r="E29" s="149"/>
      <c r="F29" s="158"/>
      <c r="G29" s="148"/>
      <c r="H29" s="159"/>
      <c r="I29" s="159"/>
      <c r="J29" s="160"/>
      <c r="K29" s="148"/>
      <c r="L29" s="159"/>
      <c r="M29" s="159"/>
      <c r="N29" s="160"/>
      <c r="O29" s="148"/>
      <c r="P29" s="159"/>
      <c r="Q29" s="159"/>
      <c r="R29" s="158"/>
      <c r="S29" s="148"/>
      <c r="T29" s="159"/>
      <c r="U29" s="159"/>
      <c r="V29" s="159"/>
      <c r="W29" s="148"/>
      <c r="X29" s="159"/>
      <c r="Y29" s="159"/>
      <c r="Z29" s="159"/>
      <c r="AA29" s="151"/>
      <c r="AB29" s="154"/>
      <c r="AC29" s="155"/>
    </row>
    <row r="30" spans="1:29" s="110" customFormat="1" ht="12.75" customHeight="1" thickBot="1" x14ac:dyDescent="0.25">
      <c r="A30" s="166"/>
      <c r="B30" s="167" t="s">
        <v>622</v>
      </c>
      <c r="C30" s="168" t="s">
        <v>615</v>
      </c>
      <c r="D30" s="169"/>
      <c r="E30" s="184"/>
      <c r="F30" s="171"/>
      <c r="G30" s="172"/>
      <c r="H30" s="173"/>
      <c r="I30" s="173"/>
      <c r="J30" s="174"/>
      <c r="K30" s="169"/>
      <c r="L30" s="175"/>
      <c r="M30" s="175"/>
      <c r="N30" s="176"/>
      <c r="O30" s="169"/>
      <c r="P30" s="171"/>
      <c r="Q30" s="171"/>
      <c r="R30" s="171"/>
      <c r="S30" s="172"/>
      <c r="T30" s="173"/>
      <c r="U30" s="173"/>
      <c r="V30" s="174"/>
      <c r="W30" s="172"/>
      <c r="X30" s="173"/>
      <c r="Y30" s="173"/>
      <c r="Z30" s="174"/>
      <c r="AA30" s="177"/>
      <c r="AB30" s="178"/>
      <c r="AC30" s="179"/>
    </row>
    <row r="31" spans="1:29" s="110" customFormat="1" ht="12.75" customHeight="1" x14ac:dyDescent="0.2">
      <c r="A31" s="130">
        <v>7</v>
      </c>
      <c r="B31" s="131" t="s">
        <v>627</v>
      </c>
      <c r="C31" s="104"/>
      <c r="D31" s="148"/>
      <c r="E31" s="149"/>
      <c r="F31" s="180"/>
      <c r="G31" s="181"/>
      <c r="H31" s="182"/>
      <c r="I31" s="182"/>
      <c r="J31" s="183"/>
      <c r="K31" s="151"/>
      <c r="L31" s="154"/>
      <c r="M31" s="154"/>
      <c r="N31" s="155"/>
      <c r="O31" s="151"/>
      <c r="P31" s="154"/>
      <c r="Q31" s="154"/>
      <c r="R31" s="155"/>
      <c r="S31" s="181"/>
      <c r="T31" s="182"/>
      <c r="U31" s="182"/>
      <c r="V31" s="183"/>
      <c r="W31" s="181"/>
      <c r="X31" s="182"/>
      <c r="Y31" s="182"/>
      <c r="Z31" s="183"/>
      <c r="AA31" s="151"/>
      <c r="AB31" s="154"/>
      <c r="AC31" s="155"/>
    </row>
    <row r="32" spans="1:29" s="110" customFormat="1" ht="12.75" customHeight="1" thickBot="1" x14ac:dyDescent="0.25">
      <c r="A32" s="130"/>
      <c r="B32" s="156" t="s">
        <v>628</v>
      </c>
      <c r="C32" s="186" t="s">
        <v>626</v>
      </c>
      <c r="D32" s="169"/>
      <c r="E32" s="175"/>
      <c r="F32" s="174"/>
      <c r="G32" s="148"/>
      <c r="H32" s="159"/>
      <c r="I32" s="159"/>
      <c r="J32" s="160"/>
      <c r="K32" s="169"/>
      <c r="L32" s="159"/>
      <c r="M32" s="175"/>
      <c r="N32" s="176"/>
      <c r="O32" s="169"/>
      <c r="P32" s="175"/>
      <c r="Q32" s="175"/>
      <c r="R32" s="176"/>
      <c r="S32" s="169"/>
      <c r="T32" s="187"/>
      <c r="U32" s="187"/>
      <c r="V32" s="188"/>
      <c r="W32" s="169"/>
      <c r="X32" s="187"/>
      <c r="Y32" s="187"/>
      <c r="Z32" s="188"/>
      <c r="AA32" s="151"/>
      <c r="AB32" s="154"/>
      <c r="AC32" s="155"/>
    </row>
    <row r="33" spans="1:1028" ht="12.75" customHeight="1" x14ac:dyDescent="0.2">
      <c r="A33" s="189">
        <v>8</v>
      </c>
      <c r="B33" s="190" t="s">
        <v>629</v>
      </c>
      <c r="C33" s="191"/>
      <c r="D33" s="148"/>
      <c r="E33" s="149"/>
      <c r="F33" s="192"/>
      <c r="G33" s="193"/>
      <c r="H33" s="193"/>
      <c r="I33" s="193"/>
      <c r="J33" s="193"/>
      <c r="K33" s="151"/>
      <c r="L33" s="194"/>
      <c r="M33" s="194"/>
      <c r="N33" s="195"/>
      <c r="O33" s="151"/>
      <c r="P33" s="194"/>
      <c r="Q33" s="194"/>
      <c r="R33" s="195"/>
      <c r="S33" s="196"/>
      <c r="T33" s="193"/>
      <c r="U33" s="193"/>
      <c r="V33" s="197"/>
      <c r="W33" s="196"/>
      <c r="X33" s="193"/>
      <c r="Y33" s="193"/>
      <c r="Z33" s="197"/>
      <c r="AA33" s="198"/>
      <c r="AB33" s="194"/>
      <c r="AC33" s="195"/>
    </row>
    <row r="34" spans="1:1028" s="203" customFormat="1" ht="12.75" customHeight="1" x14ac:dyDescent="0.2">
      <c r="A34" s="200"/>
      <c r="B34" s="201" t="s">
        <v>621</v>
      </c>
      <c r="C34" s="186" t="s">
        <v>626</v>
      </c>
      <c r="D34" s="148"/>
      <c r="E34" s="149"/>
      <c r="F34" s="165"/>
      <c r="G34" s="163"/>
      <c r="H34" s="164"/>
      <c r="I34" s="164"/>
      <c r="J34" s="165"/>
      <c r="K34" s="148"/>
      <c r="L34" s="159"/>
      <c r="M34" s="159"/>
      <c r="N34" s="160"/>
      <c r="O34" s="148"/>
      <c r="P34" s="159"/>
      <c r="Q34" s="159"/>
      <c r="R34" s="160"/>
      <c r="S34" s="148"/>
      <c r="T34" s="159"/>
      <c r="U34" s="159"/>
      <c r="V34" s="159"/>
      <c r="W34" s="148"/>
      <c r="X34" s="159"/>
      <c r="Y34" s="159"/>
      <c r="Z34" s="159"/>
      <c r="AA34" s="181"/>
      <c r="AB34" s="182"/>
      <c r="AC34" s="183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/>
      <c r="AT34" s="202"/>
      <c r="AU34" s="202"/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/>
      <c r="BI34" s="202"/>
      <c r="BJ34" s="202"/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/>
      <c r="BX34" s="202"/>
      <c r="BY34" s="202"/>
      <c r="BZ34" s="202"/>
      <c r="CA34" s="202"/>
      <c r="CB34" s="202"/>
      <c r="CC34" s="202"/>
      <c r="CD34" s="202"/>
      <c r="CE34" s="202"/>
      <c r="CF34" s="202"/>
      <c r="CG34" s="202"/>
      <c r="CH34" s="202"/>
      <c r="CI34" s="202"/>
      <c r="CJ34" s="202"/>
      <c r="CK34" s="202"/>
      <c r="CL34" s="202"/>
      <c r="CM34" s="202"/>
      <c r="CN34" s="202"/>
      <c r="CO34" s="202"/>
      <c r="CP34" s="202"/>
      <c r="CQ34" s="202"/>
      <c r="CR34" s="202"/>
      <c r="CS34" s="202"/>
      <c r="CT34" s="202"/>
      <c r="CU34" s="202"/>
      <c r="CV34" s="202"/>
      <c r="CW34" s="202"/>
      <c r="CX34" s="202"/>
      <c r="CY34" s="202"/>
      <c r="CZ34" s="202"/>
      <c r="DA34" s="202"/>
      <c r="DB34" s="202"/>
      <c r="DC34" s="202"/>
      <c r="DD34" s="202"/>
      <c r="DE34" s="202"/>
      <c r="DF34" s="202"/>
      <c r="DG34" s="202"/>
      <c r="DH34" s="202"/>
      <c r="DI34" s="202"/>
      <c r="DJ34" s="202"/>
      <c r="DK34" s="202"/>
      <c r="DL34" s="202"/>
      <c r="DM34" s="202"/>
      <c r="DN34" s="202"/>
      <c r="DO34" s="202"/>
      <c r="DP34" s="202"/>
      <c r="DQ34" s="202"/>
      <c r="DR34" s="202"/>
      <c r="DS34" s="202"/>
      <c r="DT34" s="202"/>
      <c r="DU34" s="202"/>
      <c r="DV34" s="202"/>
      <c r="DW34" s="202"/>
      <c r="DX34" s="202"/>
      <c r="DY34" s="202"/>
      <c r="DZ34" s="202"/>
      <c r="EA34" s="202"/>
      <c r="EB34" s="202"/>
      <c r="EC34" s="202"/>
      <c r="ED34" s="202"/>
      <c r="EE34" s="202"/>
      <c r="EF34" s="202"/>
      <c r="EG34" s="202"/>
      <c r="EH34" s="202"/>
      <c r="EI34" s="202"/>
      <c r="EJ34" s="202"/>
      <c r="EK34" s="202"/>
      <c r="EL34" s="202"/>
      <c r="EM34" s="202"/>
      <c r="EN34" s="202"/>
      <c r="EO34" s="202"/>
      <c r="EP34" s="202"/>
      <c r="EQ34" s="202"/>
      <c r="ER34" s="202"/>
      <c r="ES34" s="202"/>
      <c r="ET34" s="202"/>
      <c r="EU34" s="202"/>
      <c r="EV34" s="202"/>
      <c r="EW34" s="202"/>
      <c r="EX34" s="202"/>
      <c r="EY34" s="202"/>
      <c r="EZ34" s="202"/>
      <c r="FA34" s="202"/>
      <c r="FB34" s="202"/>
      <c r="FC34" s="202"/>
      <c r="FD34" s="202"/>
      <c r="FE34" s="202"/>
      <c r="FF34" s="202"/>
      <c r="FG34" s="202"/>
      <c r="FH34" s="202"/>
      <c r="FI34" s="202"/>
      <c r="FJ34" s="202"/>
      <c r="FK34" s="202"/>
      <c r="FL34" s="202"/>
      <c r="FM34" s="202"/>
      <c r="FN34" s="202"/>
      <c r="FO34" s="202"/>
      <c r="FP34" s="202"/>
      <c r="FQ34" s="202"/>
      <c r="FR34" s="202"/>
      <c r="FS34" s="202"/>
      <c r="FT34" s="202"/>
      <c r="FU34" s="202"/>
      <c r="FV34" s="202"/>
      <c r="FW34" s="202"/>
      <c r="FX34" s="202"/>
      <c r="FY34" s="202"/>
      <c r="FZ34" s="202"/>
      <c r="GA34" s="202"/>
      <c r="GB34" s="202"/>
      <c r="GC34" s="202"/>
      <c r="GD34" s="202"/>
      <c r="GE34" s="202"/>
      <c r="GF34" s="202"/>
      <c r="GG34" s="202"/>
      <c r="GH34" s="202"/>
      <c r="GI34" s="202"/>
      <c r="GJ34" s="202"/>
      <c r="GK34" s="202"/>
      <c r="GL34" s="202"/>
      <c r="GM34" s="202"/>
      <c r="GN34" s="202"/>
      <c r="GO34" s="202"/>
      <c r="GP34" s="202"/>
      <c r="GQ34" s="202"/>
      <c r="GR34" s="202"/>
      <c r="GS34" s="202"/>
      <c r="GT34" s="202"/>
      <c r="GU34" s="202"/>
      <c r="GV34" s="202"/>
      <c r="GW34" s="202"/>
      <c r="GX34" s="202"/>
      <c r="GY34" s="202"/>
      <c r="GZ34" s="202"/>
      <c r="HA34" s="202"/>
      <c r="HB34" s="202"/>
      <c r="HC34" s="202"/>
      <c r="HD34" s="202"/>
      <c r="HE34" s="202"/>
      <c r="HF34" s="202"/>
      <c r="HG34" s="202"/>
      <c r="HH34" s="202"/>
      <c r="HI34" s="202"/>
      <c r="HJ34" s="202"/>
      <c r="HK34" s="202"/>
      <c r="HL34" s="202"/>
      <c r="HM34" s="202"/>
      <c r="HN34" s="202"/>
      <c r="HO34" s="202"/>
      <c r="HP34" s="202"/>
      <c r="HQ34" s="202"/>
      <c r="HR34" s="202"/>
      <c r="HS34" s="202"/>
      <c r="HT34" s="202"/>
      <c r="HU34" s="202"/>
      <c r="HV34" s="202"/>
      <c r="HW34" s="202"/>
      <c r="HX34" s="202"/>
      <c r="HY34" s="202"/>
      <c r="HZ34" s="202"/>
      <c r="IA34" s="202"/>
      <c r="IB34" s="202"/>
      <c r="IC34" s="202"/>
      <c r="ID34" s="202"/>
      <c r="IE34" s="202"/>
      <c r="IF34" s="202"/>
      <c r="IG34" s="202"/>
      <c r="IH34" s="202"/>
      <c r="II34" s="202"/>
      <c r="IJ34" s="202"/>
      <c r="IK34" s="202"/>
      <c r="IL34" s="202"/>
      <c r="IM34" s="202"/>
      <c r="IN34" s="202"/>
      <c r="IO34" s="202"/>
      <c r="IP34" s="202"/>
      <c r="IQ34" s="202"/>
      <c r="IR34" s="202"/>
      <c r="IS34" s="202"/>
      <c r="IT34" s="202"/>
      <c r="IU34" s="202"/>
      <c r="IV34" s="202"/>
      <c r="IW34" s="202"/>
      <c r="IX34" s="202"/>
      <c r="IY34" s="202"/>
      <c r="IZ34" s="202"/>
      <c r="JA34" s="202"/>
      <c r="JB34" s="202"/>
      <c r="JC34" s="202"/>
      <c r="JD34" s="202"/>
      <c r="JE34" s="202"/>
      <c r="JF34" s="202"/>
      <c r="JG34" s="202"/>
      <c r="JH34" s="202"/>
      <c r="JI34" s="202"/>
      <c r="JJ34" s="202"/>
      <c r="JK34" s="202"/>
      <c r="JL34" s="202"/>
      <c r="JM34" s="202"/>
      <c r="JN34" s="202"/>
      <c r="JO34" s="202"/>
      <c r="JP34" s="202"/>
      <c r="JQ34" s="202"/>
      <c r="JR34" s="202"/>
      <c r="JS34" s="202"/>
      <c r="JT34" s="202"/>
      <c r="JU34" s="202"/>
      <c r="JV34" s="202"/>
      <c r="JW34" s="202"/>
      <c r="JX34" s="202"/>
      <c r="JY34" s="202"/>
      <c r="JZ34" s="202"/>
      <c r="KA34" s="202"/>
      <c r="KB34" s="202"/>
      <c r="KC34" s="202"/>
      <c r="KD34" s="202"/>
      <c r="KE34" s="202"/>
      <c r="KF34" s="202"/>
      <c r="KG34" s="202"/>
      <c r="KH34" s="202"/>
      <c r="KI34" s="202"/>
      <c r="KJ34" s="202"/>
      <c r="KK34" s="202"/>
      <c r="KL34" s="202"/>
      <c r="KM34" s="202"/>
      <c r="KN34" s="202"/>
      <c r="KO34" s="202"/>
      <c r="KP34" s="202"/>
      <c r="KQ34" s="202"/>
      <c r="KR34" s="202"/>
      <c r="KS34" s="202"/>
      <c r="KT34" s="202"/>
      <c r="KU34" s="202"/>
      <c r="KV34" s="202"/>
      <c r="KW34" s="202"/>
      <c r="KX34" s="202"/>
      <c r="KY34" s="202"/>
      <c r="KZ34" s="202"/>
      <c r="LA34" s="202"/>
      <c r="LB34" s="202"/>
      <c r="LC34" s="202"/>
      <c r="LD34" s="202"/>
      <c r="LE34" s="202"/>
      <c r="LF34" s="202"/>
      <c r="LG34" s="202"/>
      <c r="LH34" s="202"/>
      <c r="LI34" s="202"/>
      <c r="LJ34" s="202"/>
      <c r="LK34" s="202"/>
      <c r="LL34" s="202"/>
      <c r="LM34" s="202"/>
      <c r="LN34" s="202"/>
      <c r="LO34" s="202"/>
      <c r="LP34" s="202"/>
      <c r="LQ34" s="202"/>
      <c r="LR34" s="202"/>
      <c r="LS34" s="202"/>
      <c r="LT34" s="202"/>
      <c r="LU34" s="202"/>
      <c r="LV34" s="202"/>
      <c r="LW34" s="202"/>
      <c r="LX34" s="202"/>
      <c r="LY34" s="202"/>
      <c r="LZ34" s="202"/>
      <c r="MA34" s="202"/>
      <c r="MB34" s="202"/>
      <c r="MC34" s="202"/>
      <c r="MD34" s="202"/>
      <c r="ME34" s="202"/>
      <c r="MF34" s="202"/>
      <c r="MG34" s="202"/>
      <c r="MH34" s="202"/>
      <c r="MI34" s="202"/>
      <c r="MJ34" s="202"/>
      <c r="MK34" s="202"/>
      <c r="ML34" s="202"/>
      <c r="MM34" s="202"/>
      <c r="MN34" s="202"/>
      <c r="MO34" s="202"/>
      <c r="MP34" s="202"/>
      <c r="MQ34" s="202"/>
      <c r="MR34" s="202"/>
      <c r="MS34" s="202"/>
      <c r="MT34" s="202"/>
      <c r="MU34" s="202"/>
      <c r="MV34" s="202"/>
      <c r="MW34" s="202"/>
      <c r="MX34" s="202"/>
      <c r="MY34" s="202"/>
      <c r="MZ34" s="202"/>
      <c r="NA34" s="202"/>
      <c r="NB34" s="202"/>
      <c r="NC34" s="202"/>
      <c r="ND34" s="202"/>
      <c r="NE34" s="202"/>
      <c r="NF34" s="202"/>
      <c r="NG34" s="202"/>
      <c r="NH34" s="202"/>
      <c r="NI34" s="202"/>
      <c r="NJ34" s="202"/>
      <c r="NK34" s="202"/>
      <c r="NL34" s="202"/>
      <c r="NM34" s="202"/>
      <c r="NN34" s="202"/>
      <c r="NO34" s="202"/>
      <c r="NP34" s="202"/>
      <c r="NQ34" s="202"/>
      <c r="NR34" s="202"/>
      <c r="NS34" s="202"/>
      <c r="NT34" s="202"/>
      <c r="NU34" s="202"/>
      <c r="NV34" s="202"/>
      <c r="NW34" s="202"/>
      <c r="NX34" s="202"/>
      <c r="NY34" s="202"/>
      <c r="NZ34" s="202"/>
      <c r="OA34" s="202"/>
      <c r="OB34" s="202"/>
      <c r="OC34" s="202"/>
      <c r="OD34" s="202"/>
      <c r="OE34" s="202"/>
      <c r="OF34" s="202"/>
      <c r="OG34" s="202"/>
      <c r="OH34" s="202"/>
      <c r="OI34" s="202"/>
      <c r="OJ34" s="202"/>
      <c r="OK34" s="202"/>
      <c r="OL34" s="202"/>
      <c r="OM34" s="202"/>
      <c r="ON34" s="202"/>
      <c r="OO34" s="202"/>
      <c r="OP34" s="202"/>
      <c r="OQ34" s="202"/>
      <c r="OR34" s="202"/>
      <c r="OS34" s="202"/>
      <c r="OT34" s="202"/>
      <c r="OU34" s="202"/>
      <c r="OV34" s="202"/>
      <c r="OW34" s="202"/>
      <c r="OX34" s="202"/>
      <c r="OY34" s="202"/>
      <c r="OZ34" s="202"/>
      <c r="PA34" s="202"/>
      <c r="PB34" s="202"/>
      <c r="PC34" s="202"/>
      <c r="PD34" s="202"/>
      <c r="PE34" s="202"/>
      <c r="PF34" s="202"/>
      <c r="PG34" s="202"/>
      <c r="PH34" s="202"/>
      <c r="PI34" s="202"/>
      <c r="PJ34" s="202"/>
      <c r="PK34" s="202"/>
      <c r="PL34" s="202"/>
      <c r="PM34" s="202"/>
      <c r="PN34" s="202"/>
      <c r="PO34" s="202"/>
      <c r="PP34" s="202"/>
      <c r="PQ34" s="202"/>
      <c r="PR34" s="202"/>
      <c r="PS34" s="202"/>
      <c r="PT34" s="202"/>
      <c r="PU34" s="202"/>
      <c r="PV34" s="202"/>
      <c r="PW34" s="202"/>
      <c r="PX34" s="202"/>
      <c r="PY34" s="202"/>
      <c r="PZ34" s="202"/>
      <c r="QA34" s="202"/>
      <c r="QB34" s="202"/>
      <c r="QC34" s="202"/>
      <c r="QD34" s="202"/>
      <c r="QE34" s="202"/>
      <c r="QF34" s="202"/>
      <c r="QG34" s="202"/>
      <c r="QH34" s="202"/>
      <c r="QI34" s="202"/>
      <c r="QJ34" s="202"/>
      <c r="QK34" s="202"/>
      <c r="QL34" s="202"/>
      <c r="QM34" s="202"/>
      <c r="QN34" s="202"/>
      <c r="QO34" s="202"/>
      <c r="QP34" s="202"/>
      <c r="QQ34" s="202"/>
      <c r="QR34" s="202"/>
      <c r="QS34" s="202"/>
      <c r="QT34" s="202"/>
      <c r="QU34" s="202"/>
      <c r="QV34" s="202"/>
      <c r="QW34" s="202"/>
      <c r="QX34" s="202"/>
      <c r="QY34" s="202"/>
      <c r="QZ34" s="202"/>
      <c r="RA34" s="202"/>
      <c r="RB34" s="202"/>
      <c r="RC34" s="202"/>
      <c r="RD34" s="202"/>
      <c r="RE34" s="202"/>
      <c r="RF34" s="202"/>
      <c r="RG34" s="202"/>
      <c r="RH34" s="202"/>
      <c r="RI34" s="202"/>
      <c r="RJ34" s="202"/>
      <c r="RK34" s="202"/>
      <c r="RL34" s="202"/>
      <c r="RM34" s="202"/>
      <c r="RN34" s="202"/>
      <c r="RO34" s="202"/>
      <c r="RP34" s="202"/>
      <c r="RQ34" s="202"/>
      <c r="RR34" s="202"/>
      <c r="RS34" s="202"/>
      <c r="RT34" s="202"/>
      <c r="RU34" s="202"/>
      <c r="RV34" s="202"/>
      <c r="RW34" s="202"/>
      <c r="RX34" s="202"/>
      <c r="RY34" s="202"/>
      <c r="RZ34" s="202"/>
      <c r="SA34" s="202"/>
      <c r="SB34" s="202"/>
      <c r="SC34" s="202"/>
      <c r="SD34" s="202"/>
      <c r="SE34" s="202"/>
      <c r="SF34" s="202"/>
      <c r="SG34" s="202"/>
      <c r="SH34" s="202"/>
      <c r="SI34" s="202"/>
      <c r="SJ34" s="202"/>
      <c r="SK34" s="202"/>
      <c r="SL34" s="202"/>
      <c r="SM34" s="202"/>
      <c r="SN34" s="202"/>
      <c r="SO34" s="202"/>
      <c r="SP34" s="202"/>
      <c r="SQ34" s="202"/>
      <c r="SR34" s="202"/>
      <c r="SS34" s="202"/>
      <c r="ST34" s="202"/>
      <c r="SU34" s="202"/>
      <c r="SV34" s="202"/>
      <c r="SW34" s="202"/>
      <c r="SX34" s="202"/>
      <c r="SY34" s="202"/>
      <c r="SZ34" s="202"/>
      <c r="TA34" s="202"/>
      <c r="TB34" s="202"/>
      <c r="TC34" s="202"/>
      <c r="TD34" s="202"/>
      <c r="TE34" s="202"/>
      <c r="TF34" s="202"/>
      <c r="TG34" s="202"/>
      <c r="TH34" s="202"/>
      <c r="TI34" s="202"/>
      <c r="TJ34" s="202"/>
      <c r="TK34" s="202"/>
      <c r="TL34" s="202"/>
      <c r="TM34" s="202"/>
      <c r="TN34" s="202"/>
      <c r="TO34" s="202"/>
      <c r="TP34" s="202"/>
      <c r="TQ34" s="202"/>
      <c r="TR34" s="202"/>
      <c r="TS34" s="202"/>
      <c r="TT34" s="202"/>
      <c r="TU34" s="202"/>
      <c r="TV34" s="202"/>
      <c r="TW34" s="202"/>
      <c r="TX34" s="202"/>
      <c r="TY34" s="202"/>
      <c r="TZ34" s="202"/>
      <c r="UA34" s="202"/>
      <c r="UB34" s="202"/>
      <c r="UC34" s="202"/>
      <c r="UD34" s="202"/>
      <c r="UE34" s="202"/>
      <c r="UF34" s="202"/>
      <c r="UG34" s="202"/>
      <c r="UH34" s="202"/>
      <c r="UI34" s="202"/>
      <c r="UJ34" s="202"/>
      <c r="UK34" s="202"/>
      <c r="UL34" s="202"/>
      <c r="UM34" s="202"/>
      <c r="UN34" s="202"/>
      <c r="UO34" s="202"/>
      <c r="UP34" s="202"/>
      <c r="UQ34" s="202"/>
      <c r="UR34" s="202"/>
      <c r="US34" s="202"/>
      <c r="UT34" s="202"/>
      <c r="UU34" s="202"/>
      <c r="UV34" s="202"/>
      <c r="UW34" s="202"/>
      <c r="UX34" s="202"/>
      <c r="UY34" s="202"/>
      <c r="UZ34" s="202"/>
      <c r="VA34" s="202"/>
      <c r="VB34" s="202"/>
      <c r="VC34" s="202"/>
      <c r="VD34" s="202"/>
      <c r="VE34" s="202"/>
      <c r="VF34" s="202"/>
      <c r="VG34" s="202"/>
      <c r="VH34" s="202"/>
      <c r="VI34" s="202"/>
      <c r="VJ34" s="202"/>
      <c r="VK34" s="202"/>
      <c r="VL34" s="202"/>
      <c r="VM34" s="202"/>
      <c r="VN34" s="202"/>
      <c r="VO34" s="202"/>
      <c r="VP34" s="202"/>
      <c r="VQ34" s="202"/>
      <c r="VR34" s="202"/>
      <c r="VS34" s="202"/>
      <c r="VT34" s="202"/>
      <c r="VU34" s="202"/>
      <c r="VV34" s="202"/>
      <c r="VW34" s="202"/>
      <c r="VX34" s="202"/>
      <c r="VY34" s="202"/>
      <c r="VZ34" s="202"/>
      <c r="WA34" s="202"/>
      <c r="WB34" s="202"/>
      <c r="WC34" s="202"/>
      <c r="WD34" s="202"/>
      <c r="WE34" s="202"/>
      <c r="WF34" s="202"/>
      <c r="WG34" s="202"/>
      <c r="WH34" s="202"/>
      <c r="WI34" s="202"/>
      <c r="WJ34" s="202"/>
      <c r="WK34" s="202"/>
      <c r="WL34" s="202"/>
      <c r="WM34" s="202"/>
      <c r="WN34" s="202"/>
      <c r="WO34" s="202"/>
      <c r="WP34" s="202"/>
      <c r="WQ34" s="202"/>
      <c r="WR34" s="202"/>
      <c r="WS34" s="202"/>
      <c r="WT34" s="202"/>
      <c r="WU34" s="202"/>
      <c r="WV34" s="202"/>
      <c r="WW34" s="202"/>
      <c r="WX34" s="202"/>
      <c r="WY34" s="202"/>
      <c r="WZ34" s="202"/>
      <c r="XA34" s="202"/>
      <c r="XB34" s="202"/>
      <c r="XC34" s="202"/>
      <c r="XD34" s="202"/>
      <c r="XE34" s="202"/>
      <c r="XF34" s="202"/>
      <c r="XG34" s="202"/>
      <c r="XH34" s="202"/>
      <c r="XI34" s="202"/>
      <c r="XJ34" s="202"/>
      <c r="XK34" s="202"/>
      <c r="XL34" s="202"/>
      <c r="XM34" s="202"/>
      <c r="XN34" s="202"/>
      <c r="XO34" s="202"/>
      <c r="XP34" s="202"/>
      <c r="XQ34" s="202"/>
      <c r="XR34" s="202"/>
      <c r="XS34" s="202"/>
      <c r="XT34" s="202"/>
      <c r="XU34" s="202"/>
      <c r="XV34" s="202"/>
      <c r="XW34" s="202"/>
      <c r="XX34" s="202"/>
      <c r="XY34" s="202"/>
      <c r="XZ34" s="202"/>
      <c r="YA34" s="202"/>
      <c r="YB34" s="202"/>
      <c r="YC34" s="202"/>
      <c r="YD34" s="202"/>
      <c r="YE34" s="202"/>
      <c r="YF34" s="202"/>
      <c r="YG34" s="202"/>
      <c r="YH34" s="202"/>
      <c r="YI34" s="202"/>
      <c r="YJ34" s="202"/>
      <c r="YK34" s="202"/>
      <c r="YL34" s="202"/>
      <c r="YM34" s="202"/>
      <c r="YN34" s="202"/>
      <c r="YO34" s="202"/>
      <c r="YP34" s="202"/>
      <c r="YQ34" s="202"/>
      <c r="YR34" s="202"/>
      <c r="YS34" s="202"/>
      <c r="YT34" s="202"/>
      <c r="YU34" s="202"/>
      <c r="YV34" s="202"/>
      <c r="YW34" s="202"/>
      <c r="YX34" s="202"/>
      <c r="YY34" s="202"/>
      <c r="YZ34" s="202"/>
      <c r="ZA34" s="202"/>
      <c r="ZB34" s="202"/>
      <c r="ZC34" s="202"/>
      <c r="ZD34" s="202"/>
      <c r="ZE34" s="202"/>
      <c r="ZF34" s="202"/>
      <c r="ZG34" s="202"/>
      <c r="ZH34" s="202"/>
      <c r="ZI34" s="202"/>
      <c r="ZJ34" s="202"/>
      <c r="ZK34" s="202"/>
      <c r="ZL34" s="202"/>
      <c r="ZM34" s="202"/>
      <c r="ZN34" s="202"/>
      <c r="ZO34" s="202"/>
      <c r="ZP34" s="202"/>
      <c r="ZQ34" s="202"/>
      <c r="ZR34" s="202"/>
      <c r="ZS34" s="202"/>
      <c r="ZT34" s="202"/>
      <c r="ZU34" s="202"/>
      <c r="ZV34" s="202"/>
      <c r="ZW34" s="202"/>
      <c r="ZX34" s="202"/>
      <c r="ZY34" s="202"/>
      <c r="ZZ34" s="202"/>
      <c r="AAA34" s="202"/>
      <c r="AAB34" s="202"/>
      <c r="AAC34" s="202"/>
      <c r="AAD34" s="202"/>
      <c r="AAE34" s="202"/>
      <c r="AAF34" s="202"/>
      <c r="AAG34" s="202"/>
      <c r="AAH34" s="202"/>
      <c r="AAI34" s="202"/>
      <c r="AAJ34" s="202"/>
      <c r="AAK34" s="202"/>
      <c r="AAL34" s="202"/>
      <c r="AAM34" s="202"/>
      <c r="AAN34" s="202"/>
      <c r="AAO34" s="202"/>
      <c r="AAP34" s="202"/>
      <c r="AAQ34" s="202"/>
      <c r="AAR34" s="202"/>
      <c r="AAS34" s="202"/>
      <c r="AAT34" s="202"/>
      <c r="AAU34" s="202"/>
      <c r="AAV34" s="202"/>
      <c r="AAW34" s="202"/>
      <c r="AAX34" s="202"/>
      <c r="AAY34" s="202"/>
      <c r="AAZ34" s="202"/>
      <c r="ABA34" s="202"/>
      <c r="ABB34" s="202"/>
      <c r="ABC34" s="202"/>
      <c r="ABD34" s="202"/>
      <c r="ABE34" s="202"/>
      <c r="ABF34" s="202"/>
      <c r="ABG34" s="202"/>
      <c r="ABH34" s="202"/>
      <c r="ABI34" s="202"/>
      <c r="ABJ34" s="202"/>
      <c r="ABK34" s="202"/>
      <c r="ABL34" s="202"/>
      <c r="ABM34" s="202"/>
      <c r="ABN34" s="202"/>
      <c r="ABO34" s="202"/>
      <c r="ABP34" s="202"/>
      <c r="ABQ34" s="202"/>
      <c r="ABR34" s="202"/>
      <c r="ABS34" s="202"/>
      <c r="ABT34" s="202"/>
      <c r="ABU34" s="202"/>
      <c r="ABV34" s="202"/>
      <c r="ABW34" s="202"/>
      <c r="ABX34" s="202"/>
      <c r="ABY34" s="202"/>
      <c r="ABZ34" s="202"/>
      <c r="ACA34" s="202"/>
      <c r="ACB34" s="202"/>
      <c r="ACC34" s="202"/>
      <c r="ACD34" s="202"/>
      <c r="ACE34" s="202"/>
      <c r="ACF34" s="202"/>
      <c r="ACG34" s="202"/>
      <c r="ACH34" s="202"/>
      <c r="ACI34" s="202"/>
      <c r="ACJ34" s="202"/>
      <c r="ACK34" s="202"/>
      <c r="ACL34" s="202"/>
      <c r="ACM34" s="202"/>
      <c r="ACN34" s="202"/>
      <c r="ACO34" s="202"/>
      <c r="ACP34" s="202"/>
      <c r="ACQ34" s="202"/>
      <c r="ACR34" s="202"/>
      <c r="ACS34" s="202"/>
      <c r="ACT34" s="202"/>
      <c r="ACU34" s="202"/>
      <c r="ACV34" s="202"/>
      <c r="ACW34" s="202"/>
      <c r="ACX34" s="202"/>
      <c r="ACY34" s="202"/>
      <c r="ACZ34" s="202"/>
      <c r="ADA34" s="202"/>
      <c r="ADB34" s="202"/>
      <c r="ADC34" s="202"/>
      <c r="ADD34" s="202"/>
      <c r="ADE34" s="202"/>
      <c r="ADF34" s="202"/>
      <c r="ADG34" s="202"/>
      <c r="ADH34" s="202"/>
      <c r="ADI34" s="202"/>
      <c r="ADJ34" s="202"/>
      <c r="ADK34" s="202"/>
      <c r="ADL34" s="202"/>
      <c r="ADM34" s="202"/>
      <c r="ADN34" s="202"/>
      <c r="ADO34" s="202"/>
      <c r="ADP34" s="202"/>
      <c r="ADQ34" s="202"/>
      <c r="ADR34" s="202"/>
      <c r="ADS34" s="202"/>
      <c r="ADT34" s="202"/>
      <c r="ADU34" s="202"/>
      <c r="ADV34" s="202"/>
      <c r="ADW34" s="202"/>
      <c r="ADX34" s="202"/>
      <c r="ADY34" s="202"/>
      <c r="ADZ34" s="202"/>
      <c r="AEA34" s="202"/>
      <c r="AEB34" s="202"/>
      <c r="AEC34" s="202"/>
      <c r="AED34" s="202"/>
      <c r="AEE34" s="202"/>
      <c r="AEF34" s="202"/>
      <c r="AEG34" s="202"/>
      <c r="AEH34" s="202"/>
      <c r="AEI34" s="202"/>
      <c r="AEJ34" s="202"/>
      <c r="AEK34" s="202"/>
      <c r="AEL34" s="202"/>
      <c r="AEM34" s="202"/>
      <c r="AEN34" s="202"/>
      <c r="AEO34" s="202"/>
      <c r="AEP34" s="202"/>
      <c r="AEQ34" s="202"/>
      <c r="AER34" s="202"/>
      <c r="AES34" s="202"/>
      <c r="AET34" s="202"/>
      <c r="AEU34" s="202"/>
      <c r="AEV34" s="202"/>
      <c r="AEW34" s="202"/>
      <c r="AEX34" s="202"/>
      <c r="AEY34" s="202"/>
      <c r="AEZ34" s="202"/>
      <c r="AFA34" s="202"/>
      <c r="AFB34" s="202"/>
      <c r="AFC34" s="202"/>
      <c r="AFD34" s="202"/>
      <c r="AFE34" s="202"/>
      <c r="AFF34" s="202"/>
      <c r="AFG34" s="202"/>
      <c r="AFH34" s="202"/>
      <c r="AFI34" s="202"/>
      <c r="AFJ34" s="202"/>
      <c r="AFK34" s="202"/>
      <c r="AFL34" s="202"/>
      <c r="AFM34" s="202"/>
      <c r="AFN34" s="202"/>
      <c r="AFO34" s="202"/>
      <c r="AFP34" s="202"/>
      <c r="AFQ34" s="202"/>
      <c r="AFR34" s="202"/>
      <c r="AFS34" s="202"/>
      <c r="AFT34" s="202"/>
      <c r="AFU34" s="202"/>
      <c r="AFV34" s="202"/>
      <c r="AFW34" s="202"/>
      <c r="AFX34" s="202"/>
      <c r="AFY34" s="202"/>
      <c r="AFZ34" s="202"/>
      <c r="AGA34" s="202"/>
      <c r="AGB34" s="202"/>
      <c r="AGC34" s="202"/>
      <c r="AGD34" s="202"/>
      <c r="AGE34" s="202"/>
      <c r="AGF34" s="202"/>
      <c r="AGG34" s="202"/>
      <c r="AGH34" s="202"/>
      <c r="AGI34" s="202"/>
      <c r="AGJ34" s="202"/>
      <c r="AGK34" s="202"/>
      <c r="AGL34" s="202"/>
      <c r="AGM34" s="202"/>
      <c r="AGN34" s="202"/>
      <c r="AGO34" s="202"/>
      <c r="AGP34" s="202"/>
      <c r="AGQ34" s="202"/>
      <c r="AGR34" s="202"/>
      <c r="AGS34" s="202"/>
      <c r="AGT34" s="202"/>
      <c r="AGU34" s="202"/>
      <c r="AGV34" s="202"/>
      <c r="AGW34" s="202"/>
      <c r="AGX34" s="202"/>
      <c r="AGY34" s="202"/>
      <c r="AGZ34" s="202"/>
      <c r="AHA34" s="202"/>
      <c r="AHB34" s="202"/>
      <c r="AHC34" s="202"/>
      <c r="AHD34" s="202"/>
      <c r="AHE34" s="202"/>
      <c r="AHF34" s="202"/>
      <c r="AHG34" s="202"/>
      <c r="AHH34" s="202"/>
      <c r="AHI34" s="202"/>
      <c r="AHJ34" s="202"/>
      <c r="AHK34" s="202"/>
      <c r="AHL34" s="202"/>
      <c r="AHM34" s="202"/>
      <c r="AHN34" s="202"/>
      <c r="AHO34" s="202"/>
      <c r="AHP34" s="202"/>
      <c r="AHQ34" s="202"/>
      <c r="AHR34" s="202"/>
      <c r="AHS34" s="202"/>
      <c r="AHT34" s="202"/>
      <c r="AHU34" s="202"/>
      <c r="AHV34" s="202"/>
      <c r="AHW34" s="202"/>
      <c r="AHX34" s="202"/>
      <c r="AHY34" s="202"/>
      <c r="AHZ34" s="202"/>
      <c r="AIA34" s="202"/>
      <c r="AIB34" s="202"/>
      <c r="AIC34" s="202"/>
      <c r="AID34" s="202"/>
      <c r="AIE34" s="202"/>
      <c r="AIF34" s="202"/>
      <c r="AIG34" s="202"/>
      <c r="AIH34" s="202"/>
      <c r="AII34" s="202"/>
      <c r="AIJ34" s="202"/>
      <c r="AIK34" s="202"/>
      <c r="AIL34" s="202"/>
      <c r="AIM34" s="202"/>
      <c r="AIN34" s="202"/>
      <c r="AIO34" s="202"/>
      <c r="AIP34" s="202"/>
      <c r="AIQ34" s="202"/>
      <c r="AIR34" s="202"/>
      <c r="AIS34" s="202"/>
      <c r="AIT34" s="202"/>
      <c r="AIU34" s="202"/>
      <c r="AIV34" s="202"/>
      <c r="AIW34" s="202"/>
      <c r="AIX34" s="202"/>
      <c r="AIY34" s="202"/>
      <c r="AIZ34" s="202"/>
      <c r="AJA34" s="202"/>
      <c r="AJB34" s="202"/>
      <c r="AJC34" s="202"/>
      <c r="AJD34" s="202"/>
      <c r="AJE34" s="202"/>
      <c r="AJF34" s="202"/>
      <c r="AJG34" s="202"/>
      <c r="AJH34" s="202"/>
      <c r="AJI34" s="202"/>
      <c r="AJJ34" s="202"/>
      <c r="AJK34" s="202"/>
      <c r="AJL34" s="202"/>
      <c r="AJM34" s="202"/>
      <c r="AJN34" s="202"/>
      <c r="AJO34" s="202"/>
      <c r="AJP34" s="202"/>
      <c r="AJQ34" s="202"/>
      <c r="AJR34" s="202"/>
      <c r="AJS34" s="202"/>
      <c r="AJT34" s="202"/>
      <c r="AJU34" s="202"/>
      <c r="AJV34" s="202"/>
      <c r="AJW34" s="202"/>
      <c r="AJX34" s="202"/>
      <c r="AJY34" s="202"/>
      <c r="AJZ34" s="202"/>
      <c r="AKA34" s="202"/>
      <c r="AKB34" s="202"/>
      <c r="AKC34" s="202"/>
      <c r="AKD34" s="202"/>
      <c r="AKE34" s="202"/>
      <c r="AKF34" s="202"/>
      <c r="AKG34" s="202"/>
      <c r="AKH34" s="202"/>
      <c r="AKI34" s="202"/>
      <c r="AKJ34" s="202"/>
      <c r="AKK34" s="202"/>
      <c r="AKL34" s="202"/>
      <c r="AKM34" s="202"/>
      <c r="AKN34" s="202"/>
      <c r="AKO34" s="202"/>
      <c r="AKP34" s="202"/>
      <c r="AKQ34" s="202"/>
      <c r="AKR34" s="202"/>
      <c r="AKS34" s="202"/>
      <c r="AKT34" s="202"/>
      <c r="AKU34" s="202"/>
      <c r="AKV34" s="202"/>
      <c r="AKW34" s="202"/>
      <c r="AKX34" s="202"/>
      <c r="AKY34" s="202"/>
      <c r="AKZ34" s="202"/>
      <c r="ALA34" s="202"/>
      <c r="ALB34" s="202"/>
      <c r="ALC34" s="202"/>
      <c r="ALD34" s="202"/>
      <c r="ALE34" s="202"/>
      <c r="ALF34" s="202"/>
      <c r="ALG34" s="202"/>
      <c r="ALH34" s="202"/>
      <c r="ALI34" s="202"/>
      <c r="ALJ34" s="202"/>
      <c r="ALK34" s="202"/>
      <c r="ALL34" s="202"/>
      <c r="ALM34" s="202"/>
      <c r="ALN34" s="202"/>
      <c r="ALO34" s="202"/>
      <c r="ALP34" s="202"/>
      <c r="ALQ34" s="202"/>
      <c r="ALR34" s="202"/>
      <c r="ALS34" s="202"/>
      <c r="ALT34" s="202"/>
      <c r="ALU34" s="202"/>
      <c r="ALV34" s="202"/>
      <c r="ALW34" s="202"/>
      <c r="ALX34" s="202"/>
      <c r="ALY34" s="202"/>
      <c r="ALZ34" s="202"/>
      <c r="AMA34" s="202"/>
      <c r="AMB34" s="202"/>
      <c r="AMC34" s="202"/>
      <c r="AMD34" s="202"/>
      <c r="AME34" s="202"/>
      <c r="AMF34" s="202"/>
      <c r="AMG34" s="202"/>
      <c r="AMH34" s="202"/>
      <c r="AMI34" s="202"/>
      <c r="AMJ34" s="202"/>
      <c r="AMK34" s="202"/>
      <c r="AML34" s="202"/>
      <c r="AMM34" s="202"/>
      <c r="AMN34" s="202"/>
    </row>
    <row r="35" spans="1:1028" s="203" customFormat="1" ht="12.75" customHeight="1" thickBot="1" x14ac:dyDescent="0.25">
      <c r="A35" s="204"/>
      <c r="B35" s="205" t="s">
        <v>630</v>
      </c>
      <c r="C35" s="168" t="s">
        <v>626</v>
      </c>
      <c r="D35" s="169"/>
      <c r="E35" s="184"/>
      <c r="F35" s="165"/>
      <c r="G35" s="172"/>
      <c r="H35" s="173"/>
      <c r="I35" s="173"/>
      <c r="J35" s="174"/>
      <c r="K35" s="169"/>
      <c r="L35" s="159"/>
      <c r="M35" s="175"/>
      <c r="N35" s="176"/>
      <c r="O35" s="169"/>
      <c r="P35" s="175"/>
      <c r="Q35" s="175"/>
      <c r="R35" s="176"/>
      <c r="S35" s="172"/>
      <c r="T35" s="173"/>
      <c r="U35" s="173"/>
      <c r="V35" s="174"/>
      <c r="W35" s="172"/>
      <c r="X35" s="173"/>
      <c r="Y35" s="173"/>
      <c r="Z35" s="174"/>
      <c r="AA35" s="206"/>
      <c r="AB35" s="207"/>
      <c r="AC35" s="208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  <c r="CJ35" s="202"/>
      <c r="CK35" s="202"/>
      <c r="CL35" s="202"/>
      <c r="CM35" s="202"/>
      <c r="CN35" s="202"/>
      <c r="CO35" s="202"/>
      <c r="CP35" s="202"/>
      <c r="CQ35" s="202"/>
      <c r="CR35" s="202"/>
      <c r="CS35" s="202"/>
      <c r="CT35" s="202"/>
      <c r="CU35" s="202"/>
      <c r="CV35" s="202"/>
      <c r="CW35" s="202"/>
      <c r="CX35" s="202"/>
      <c r="CY35" s="202"/>
      <c r="CZ35" s="202"/>
      <c r="DA35" s="202"/>
      <c r="DB35" s="202"/>
      <c r="DC35" s="202"/>
      <c r="DD35" s="202"/>
      <c r="DE35" s="202"/>
      <c r="DF35" s="202"/>
      <c r="DG35" s="202"/>
      <c r="DH35" s="202"/>
      <c r="DI35" s="202"/>
      <c r="DJ35" s="202"/>
      <c r="DK35" s="202"/>
      <c r="DL35" s="202"/>
      <c r="DM35" s="202"/>
      <c r="DN35" s="202"/>
      <c r="DO35" s="202"/>
      <c r="DP35" s="202"/>
      <c r="DQ35" s="202"/>
      <c r="DR35" s="202"/>
      <c r="DS35" s="202"/>
      <c r="DT35" s="202"/>
      <c r="DU35" s="202"/>
      <c r="DV35" s="202"/>
      <c r="DW35" s="202"/>
      <c r="DX35" s="202"/>
      <c r="DY35" s="202"/>
      <c r="DZ35" s="202"/>
      <c r="EA35" s="202"/>
      <c r="EB35" s="202"/>
      <c r="EC35" s="202"/>
      <c r="ED35" s="202"/>
      <c r="EE35" s="202"/>
      <c r="EF35" s="202"/>
      <c r="EG35" s="202"/>
      <c r="EH35" s="202"/>
      <c r="EI35" s="202"/>
      <c r="EJ35" s="202"/>
      <c r="EK35" s="202"/>
      <c r="EL35" s="202"/>
      <c r="EM35" s="202"/>
      <c r="EN35" s="202"/>
      <c r="EO35" s="202"/>
      <c r="EP35" s="202"/>
      <c r="EQ35" s="202"/>
      <c r="ER35" s="202"/>
      <c r="ES35" s="202"/>
      <c r="ET35" s="202"/>
      <c r="EU35" s="202"/>
      <c r="EV35" s="202"/>
      <c r="EW35" s="202"/>
      <c r="EX35" s="202"/>
      <c r="EY35" s="202"/>
      <c r="EZ35" s="202"/>
      <c r="FA35" s="202"/>
      <c r="FB35" s="202"/>
      <c r="FC35" s="202"/>
      <c r="FD35" s="202"/>
      <c r="FE35" s="202"/>
      <c r="FF35" s="202"/>
      <c r="FG35" s="202"/>
      <c r="FH35" s="202"/>
      <c r="FI35" s="202"/>
      <c r="FJ35" s="202"/>
      <c r="FK35" s="202"/>
      <c r="FL35" s="202"/>
      <c r="FM35" s="202"/>
      <c r="FN35" s="202"/>
      <c r="FO35" s="202"/>
      <c r="FP35" s="202"/>
      <c r="FQ35" s="202"/>
      <c r="FR35" s="202"/>
      <c r="FS35" s="202"/>
      <c r="FT35" s="202"/>
      <c r="FU35" s="202"/>
      <c r="FV35" s="202"/>
      <c r="FW35" s="202"/>
      <c r="FX35" s="202"/>
      <c r="FY35" s="202"/>
      <c r="FZ35" s="202"/>
      <c r="GA35" s="202"/>
      <c r="GB35" s="202"/>
      <c r="GC35" s="202"/>
      <c r="GD35" s="202"/>
      <c r="GE35" s="202"/>
      <c r="GF35" s="202"/>
      <c r="GG35" s="202"/>
      <c r="GH35" s="202"/>
      <c r="GI35" s="202"/>
      <c r="GJ35" s="202"/>
      <c r="GK35" s="202"/>
      <c r="GL35" s="202"/>
      <c r="GM35" s="202"/>
      <c r="GN35" s="202"/>
      <c r="GO35" s="202"/>
      <c r="GP35" s="202"/>
      <c r="GQ35" s="202"/>
      <c r="GR35" s="202"/>
      <c r="GS35" s="202"/>
      <c r="GT35" s="202"/>
      <c r="GU35" s="202"/>
      <c r="GV35" s="202"/>
      <c r="GW35" s="202"/>
      <c r="GX35" s="202"/>
      <c r="GY35" s="202"/>
      <c r="GZ35" s="202"/>
      <c r="HA35" s="202"/>
      <c r="HB35" s="202"/>
      <c r="HC35" s="202"/>
      <c r="HD35" s="202"/>
      <c r="HE35" s="202"/>
      <c r="HF35" s="202"/>
      <c r="HG35" s="202"/>
      <c r="HH35" s="202"/>
      <c r="HI35" s="202"/>
      <c r="HJ35" s="202"/>
      <c r="HK35" s="202"/>
      <c r="HL35" s="202"/>
      <c r="HM35" s="202"/>
      <c r="HN35" s="202"/>
      <c r="HO35" s="202"/>
      <c r="HP35" s="202"/>
      <c r="HQ35" s="202"/>
      <c r="HR35" s="202"/>
      <c r="HS35" s="202"/>
      <c r="HT35" s="202"/>
      <c r="HU35" s="202"/>
      <c r="HV35" s="202"/>
      <c r="HW35" s="202"/>
      <c r="HX35" s="202"/>
      <c r="HY35" s="202"/>
      <c r="HZ35" s="202"/>
      <c r="IA35" s="202"/>
      <c r="IB35" s="202"/>
      <c r="IC35" s="202"/>
      <c r="ID35" s="202"/>
      <c r="IE35" s="202"/>
      <c r="IF35" s="202"/>
      <c r="IG35" s="202"/>
      <c r="IH35" s="202"/>
      <c r="II35" s="202"/>
      <c r="IJ35" s="202"/>
      <c r="IK35" s="202"/>
      <c r="IL35" s="202"/>
      <c r="IM35" s="202"/>
      <c r="IN35" s="202"/>
      <c r="IO35" s="202"/>
      <c r="IP35" s="202"/>
      <c r="IQ35" s="202"/>
      <c r="IR35" s="202"/>
      <c r="IS35" s="202"/>
      <c r="IT35" s="202"/>
      <c r="IU35" s="202"/>
      <c r="IV35" s="202"/>
      <c r="IW35" s="202"/>
      <c r="IX35" s="202"/>
      <c r="IY35" s="202"/>
      <c r="IZ35" s="202"/>
      <c r="JA35" s="202"/>
      <c r="JB35" s="202"/>
      <c r="JC35" s="202"/>
      <c r="JD35" s="202"/>
      <c r="JE35" s="202"/>
      <c r="JF35" s="202"/>
      <c r="JG35" s="202"/>
      <c r="JH35" s="202"/>
      <c r="JI35" s="202"/>
      <c r="JJ35" s="202"/>
      <c r="JK35" s="202"/>
      <c r="JL35" s="202"/>
      <c r="JM35" s="202"/>
      <c r="JN35" s="202"/>
      <c r="JO35" s="202"/>
      <c r="JP35" s="202"/>
      <c r="JQ35" s="202"/>
      <c r="JR35" s="202"/>
      <c r="JS35" s="202"/>
      <c r="JT35" s="202"/>
      <c r="JU35" s="202"/>
      <c r="JV35" s="202"/>
      <c r="JW35" s="202"/>
      <c r="JX35" s="202"/>
      <c r="JY35" s="202"/>
      <c r="JZ35" s="202"/>
      <c r="KA35" s="202"/>
      <c r="KB35" s="202"/>
      <c r="KC35" s="202"/>
      <c r="KD35" s="202"/>
      <c r="KE35" s="202"/>
      <c r="KF35" s="202"/>
      <c r="KG35" s="202"/>
      <c r="KH35" s="202"/>
      <c r="KI35" s="202"/>
      <c r="KJ35" s="202"/>
      <c r="KK35" s="202"/>
      <c r="KL35" s="202"/>
      <c r="KM35" s="202"/>
      <c r="KN35" s="202"/>
      <c r="KO35" s="202"/>
      <c r="KP35" s="202"/>
      <c r="KQ35" s="202"/>
      <c r="KR35" s="202"/>
      <c r="KS35" s="202"/>
      <c r="KT35" s="202"/>
      <c r="KU35" s="202"/>
      <c r="KV35" s="202"/>
      <c r="KW35" s="202"/>
      <c r="KX35" s="202"/>
      <c r="KY35" s="202"/>
      <c r="KZ35" s="202"/>
      <c r="LA35" s="202"/>
      <c r="LB35" s="202"/>
      <c r="LC35" s="202"/>
      <c r="LD35" s="202"/>
      <c r="LE35" s="202"/>
      <c r="LF35" s="202"/>
      <c r="LG35" s="202"/>
      <c r="LH35" s="202"/>
      <c r="LI35" s="202"/>
      <c r="LJ35" s="202"/>
      <c r="LK35" s="202"/>
      <c r="LL35" s="202"/>
      <c r="LM35" s="202"/>
      <c r="LN35" s="202"/>
      <c r="LO35" s="202"/>
      <c r="LP35" s="202"/>
      <c r="LQ35" s="202"/>
      <c r="LR35" s="202"/>
      <c r="LS35" s="202"/>
      <c r="LT35" s="202"/>
      <c r="LU35" s="202"/>
      <c r="LV35" s="202"/>
      <c r="LW35" s="202"/>
      <c r="LX35" s="202"/>
      <c r="LY35" s="202"/>
      <c r="LZ35" s="202"/>
      <c r="MA35" s="202"/>
      <c r="MB35" s="202"/>
      <c r="MC35" s="202"/>
      <c r="MD35" s="202"/>
      <c r="ME35" s="202"/>
      <c r="MF35" s="202"/>
      <c r="MG35" s="202"/>
      <c r="MH35" s="202"/>
      <c r="MI35" s="202"/>
      <c r="MJ35" s="202"/>
      <c r="MK35" s="202"/>
      <c r="ML35" s="202"/>
      <c r="MM35" s="202"/>
      <c r="MN35" s="202"/>
      <c r="MO35" s="202"/>
      <c r="MP35" s="202"/>
      <c r="MQ35" s="202"/>
      <c r="MR35" s="202"/>
      <c r="MS35" s="202"/>
      <c r="MT35" s="202"/>
      <c r="MU35" s="202"/>
      <c r="MV35" s="202"/>
      <c r="MW35" s="202"/>
      <c r="MX35" s="202"/>
      <c r="MY35" s="202"/>
      <c r="MZ35" s="202"/>
      <c r="NA35" s="202"/>
      <c r="NB35" s="202"/>
      <c r="NC35" s="202"/>
      <c r="ND35" s="202"/>
      <c r="NE35" s="202"/>
      <c r="NF35" s="202"/>
      <c r="NG35" s="202"/>
      <c r="NH35" s="202"/>
      <c r="NI35" s="202"/>
      <c r="NJ35" s="202"/>
      <c r="NK35" s="202"/>
      <c r="NL35" s="202"/>
      <c r="NM35" s="202"/>
      <c r="NN35" s="202"/>
      <c r="NO35" s="202"/>
      <c r="NP35" s="202"/>
      <c r="NQ35" s="202"/>
      <c r="NR35" s="202"/>
      <c r="NS35" s="202"/>
      <c r="NT35" s="202"/>
      <c r="NU35" s="202"/>
      <c r="NV35" s="202"/>
      <c r="NW35" s="202"/>
      <c r="NX35" s="202"/>
      <c r="NY35" s="202"/>
      <c r="NZ35" s="202"/>
      <c r="OA35" s="202"/>
      <c r="OB35" s="202"/>
      <c r="OC35" s="202"/>
      <c r="OD35" s="202"/>
      <c r="OE35" s="202"/>
      <c r="OF35" s="202"/>
      <c r="OG35" s="202"/>
      <c r="OH35" s="202"/>
      <c r="OI35" s="202"/>
      <c r="OJ35" s="202"/>
      <c r="OK35" s="202"/>
      <c r="OL35" s="202"/>
      <c r="OM35" s="202"/>
      <c r="ON35" s="202"/>
      <c r="OO35" s="202"/>
      <c r="OP35" s="202"/>
      <c r="OQ35" s="202"/>
      <c r="OR35" s="202"/>
      <c r="OS35" s="202"/>
      <c r="OT35" s="202"/>
      <c r="OU35" s="202"/>
      <c r="OV35" s="202"/>
      <c r="OW35" s="202"/>
      <c r="OX35" s="202"/>
      <c r="OY35" s="202"/>
      <c r="OZ35" s="202"/>
      <c r="PA35" s="202"/>
      <c r="PB35" s="202"/>
      <c r="PC35" s="202"/>
      <c r="PD35" s="202"/>
      <c r="PE35" s="202"/>
      <c r="PF35" s="202"/>
      <c r="PG35" s="202"/>
      <c r="PH35" s="202"/>
      <c r="PI35" s="202"/>
      <c r="PJ35" s="202"/>
      <c r="PK35" s="202"/>
      <c r="PL35" s="202"/>
      <c r="PM35" s="202"/>
      <c r="PN35" s="202"/>
      <c r="PO35" s="202"/>
      <c r="PP35" s="202"/>
      <c r="PQ35" s="202"/>
      <c r="PR35" s="202"/>
      <c r="PS35" s="202"/>
      <c r="PT35" s="202"/>
      <c r="PU35" s="202"/>
      <c r="PV35" s="202"/>
      <c r="PW35" s="202"/>
      <c r="PX35" s="202"/>
      <c r="PY35" s="202"/>
      <c r="PZ35" s="202"/>
      <c r="QA35" s="202"/>
      <c r="QB35" s="202"/>
      <c r="QC35" s="202"/>
      <c r="QD35" s="202"/>
      <c r="QE35" s="202"/>
      <c r="QF35" s="202"/>
      <c r="QG35" s="202"/>
      <c r="QH35" s="202"/>
      <c r="QI35" s="202"/>
      <c r="QJ35" s="202"/>
      <c r="QK35" s="202"/>
      <c r="QL35" s="202"/>
      <c r="QM35" s="202"/>
      <c r="QN35" s="202"/>
      <c r="QO35" s="202"/>
      <c r="QP35" s="202"/>
      <c r="QQ35" s="202"/>
      <c r="QR35" s="202"/>
      <c r="QS35" s="202"/>
      <c r="QT35" s="202"/>
      <c r="QU35" s="202"/>
      <c r="QV35" s="202"/>
      <c r="QW35" s="202"/>
      <c r="QX35" s="202"/>
      <c r="QY35" s="202"/>
      <c r="QZ35" s="202"/>
      <c r="RA35" s="202"/>
      <c r="RB35" s="202"/>
      <c r="RC35" s="202"/>
      <c r="RD35" s="202"/>
      <c r="RE35" s="202"/>
      <c r="RF35" s="202"/>
      <c r="RG35" s="202"/>
      <c r="RH35" s="202"/>
      <c r="RI35" s="202"/>
      <c r="RJ35" s="202"/>
      <c r="RK35" s="202"/>
      <c r="RL35" s="202"/>
      <c r="RM35" s="202"/>
      <c r="RN35" s="202"/>
      <c r="RO35" s="202"/>
      <c r="RP35" s="202"/>
      <c r="RQ35" s="202"/>
      <c r="RR35" s="202"/>
      <c r="RS35" s="202"/>
      <c r="RT35" s="202"/>
      <c r="RU35" s="202"/>
      <c r="RV35" s="202"/>
      <c r="RW35" s="202"/>
      <c r="RX35" s="202"/>
      <c r="RY35" s="202"/>
      <c r="RZ35" s="202"/>
      <c r="SA35" s="202"/>
      <c r="SB35" s="202"/>
      <c r="SC35" s="202"/>
      <c r="SD35" s="202"/>
      <c r="SE35" s="202"/>
      <c r="SF35" s="202"/>
      <c r="SG35" s="202"/>
      <c r="SH35" s="202"/>
      <c r="SI35" s="202"/>
      <c r="SJ35" s="202"/>
      <c r="SK35" s="202"/>
      <c r="SL35" s="202"/>
      <c r="SM35" s="202"/>
      <c r="SN35" s="202"/>
      <c r="SO35" s="202"/>
      <c r="SP35" s="202"/>
      <c r="SQ35" s="202"/>
      <c r="SR35" s="202"/>
      <c r="SS35" s="202"/>
      <c r="ST35" s="202"/>
      <c r="SU35" s="202"/>
      <c r="SV35" s="202"/>
      <c r="SW35" s="202"/>
      <c r="SX35" s="202"/>
      <c r="SY35" s="202"/>
      <c r="SZ35" s="202"/>
      <c r="TA35" s="202"/>
      <c r="TB35" s="202"/>
      <c r="TC35" s="202"/>
      <c r="TD35" s="202"/>
      <c r="TE35" s="202"/>
      <c r="TF35" s="202"/>
      <c r="TG35" s="202"/>
      <c r="TH35" s="202"/>
      <c r="TI35" s="202"/>
      <c r="TJ35" s="202"/>
      <c r="TK35" s="202"/>
      <c r="TL35" s="202"/>
      <c r="TM35" s="202"/>
      <c r="TN35" s="202"/>
      <c r="TO35" s="202"/>
      <c r="TP35" s="202"/>
      <c r="TQ35" s="202"/>
      <c r="TR35" s="202"/>
      <c r="TS35" s="202"/>
      <c r="TT35" s="202"/>
      <c r="TU35" s="202"/>
      <c r="TV35" s="202"/>
      <c r="TW35" s="202"/>
      <c r="TX35" s="202"/>
      <c r="TY35" s="202"/>
      <c r="TZ35" s="202"/>
      <c r="UA35" s="202"/>
      <c r="UB35" s="202"/>
      <c r="UC35" s="202"/>
      <c r="UD35" s="202"/>
      <c r="UE35" s="202"/>
      <c r="UF35" s="202"/>
      <c r="UG35" s="202"/>
      <c r="UH35" s="202"/>
      <c r="UI35" s="202"/>
      <c r="UJ35" s="202"/>
      <c r="UK35" s="202"/>
      <c r="UL35" s="202"/>
      <c r="UM35" s="202"/>
      <c r="UN35" s="202"/>
      <c r="UO35" s="202"/>
      <c r="UP35" s="202"/>
      <c r="UQ35" s="202"/>
      <c r="UR35" s="202"/>
      <c r="US35" s="202"/>
      <c r="UT35" s="202"/>
      <c r="UU35" s="202"/>
      <c r="UV35" s="202"/>
      <c r="UW35" s="202"/>
      <c r="UX35" s="202"/>
      <c r="UY35" s="202"/>
      <c r="UZ35" s="202"/>
      <c r="VA35" s="202"/>
      <c r="VB35" s="202"/>
      <c r="VC35" s="202"/>
      <c r="VD35" s="202"/>
      <c r="VE35" s="202"/>
      <c r="VF35" s="202"/>
      <c r="VG35" s="202"/>
      <c r="VH35" s="202"/>
      <c r="VI35" s="202"/>
      <c r="VJ35" s="202"/>
      <c r="VK35" s="202"/>
      <c r="VL35" s="202"/>
      <c r="VM35" s="202"/>
      <c r="VN35" s="202"/>
      <c r="VO35" s="202"/>
      <c r="VP35" s="202"/>
      <c r="VQ35" s="202"/>
      <c r="VR35" s="202"/>
      <c r="VS35" s="202"/>
      <c r="VT35" s="202"/>
      <c r="VU35" s="202"/>
      <c r="VV35" s="202"/>
      <c r="VW35" s="202"/>
      <c r="VX35" s="202"/>
      <c r="VY35" s="202"/>
      <c r="VZ35" s="202"/>
      <c r="WA35" s="202"/>
      <c r="WB35" s="202"/>
      <c r="WC35" s="202"/>
      <c r="WD35" s="202"/>
      <c r="WE35" s="202"/>
      <c r="WF35" s="202"/>
      <c r="WG35" s="202"/>
      <c r="WH35" s="202"/>
      <c r="WI35" s="202"/>
      <c r="WJ35" s="202"/>
      <c r="WK35" s="202"/>
      <c r="WL35" s="202"/>
      <c r="WM35" s="202"/>
      <c r="WN35" s="202"/>
      <c r="WO35" s="202"/>
      <c r="WP35" s="202"/>
      <c r="WQ35" s="202"/>
      <c r="WR35" s="202"/>
      <c r="WS35" s="202"/>
      <c r="WT35" s="202"/>
      <c r="WU35" s="202"/>
      <c r="WV35" s="202"/>
      <c r="WW35" s="202"/>
      <c r="WX35" s="202"/>
      <c r="WY35" s="202"/>
      <c r="WZ35" s="202"/>
      <c r="XA35" s="202"/>
      <c r="XB35" s="202"/>
      <c r="XC35" s="202"/>
      <c r="XD35" s="202"/>
      <c r="XE35" s="202"/>
      <c r="XF35" s="202"/>
      <c r="XG35" s="202"/>
      <c r="XH35" s="202"/>
      <c r="XI35" s="202"/>
      <c r="XJ35" s="202"/>
      <c r="XK35" s="202"/>
      <c r="XL35" s="202"/>
      <c r="XM35" s="202"/>
      <c r="XN35" s="202"/>
      <c r="XO35" s="202"/>
      <c r="XP35" s="202"/>
      <c r="XQ35" s="202"/>
      <c r="XR35" s="202"/>
      <c r="XS35" s="202"/>
      <c r="XT35" s="202"/>
      <c r="XU35" s="202"/>
      <c r="XV35" s="202"/>
      <c r="XW35" s="202"/>
      <c r="XX35" s="202"/>
      <c r="XY35" s="202"/>
      <c r="XZ35" s="202"/>
      <c r="YA35" s="202"/>
      <c r="YB35" s="202"/>
      <c r="YC35" s="202"/>
      <c r="YD35" s="202"/>
      <c r="YE35" s="202"/>
      <c r="YF35" s="202"/>
      <c r="YG35" s="202"/>
      <c r="YH35" s="202"/>
      <c r="YI35" s="202"/>
      <c r="YJ35" s="202"/>
      <c r="YK35" s="202"/>
      <c r="YL35" s="202"/>
      <c r="YM35" s="202"/>
      <c r="YN35" s="202"/>
      <c r="YO35" s="202"/>
      <c r="YP35" s="202"/>
      <c r="YQ35" s="202"/>
      <c r="YR35" s="202"/>
      <c r="YS35" s="202"/>
      <c r="YT35" s="202"/>
      <c r="YU35" s="202"/>
      <c r="YV35" s="202"/>
      <c r="YW35" s="202"/>
      <c r="YX35" s="202"/>
      <c r="YY35" s="202"/>
      <c r="YZ35" s="202"/>
      <c r="ZA35" s="202"/>
      <c r="ZB35" s="202"/>
      <c r="ZC35" s="202"/>
      <c r="ZD35" s="202"/>
      <c r="ZE35" s="202"/>
      <c r="ZF35" s="202"/>
      <c r="ZG35" s="202"/>
      <c r="ZH35" s="202"/>
      <c r="ZI35" s="202"/>
      <c r="ZJ35" s="202"/>
      <c r="ZK35" s="202"/>
      <c r="ZL35" s="202"/>
      <c r="ZM35" s="202"/>
      <c r="ZN35" s="202"/>
      <c r="ZO35" s="202"/>
      <c r="ZP35" s="202"/>
      <c r="ZQ35" s="202"/>
      <c r="ZR35" s="202"/>
      <c r="ZS35" s="202"/>
      <c r="ZT35" s="202"/>
      <c r="ZU35" s="202"/>
      <c r="ZV35" s="202"/>
      <c r="ZW35" s="202"/>
      <c r="ZX35" s="202"/>
      <c r="ZY35" s="202"/>
      <c r="ZZ35" s="202"/>
      <c r="AAA35" s="202"/>
      <c r="AAB35" s="202"/>
      <c r="AAC35" s="202"/>
      <c r="AAD35" s="202"/>
      <c r="AAE35" s="202"/>
      <c r="AAF35" s="202"/>
      <c r="AAG35" s="202"/>
      <c r="AAH35" s="202"/>
      <c r="AAI35" s="202"/>
      <c r="AAJ35" s="202"/>
      <c r="AAK35" s="202"/>
      <c r="AAL35" s="202"/>
      <c r="AAM35" s="202"/>
      <c r="AAN35" s="202"/>
      <c r="AAO35" s="202"/>
      <c r="AAP35" s="202"/>
      <c r="AAQ35" s="202"/>
      <c r="AAR35" s="202"/>
      <c r="AAS35" s="202"/>
      <c r="AAT35" s="202"/>
      <c r="AAU35" s="202"/>
      <c r="AAV35" s="202"/>
      <c r="AAW35" s="202"/>
      <c r="AAX35" s="202"/>
      <c r="AAY35" s="202"/>
      <c r="AAZ35" s="202"/>
      <c r="ABA35" s="202"/>
      <c r="ABB35" s="202"/>
      <c r="ABC35" s="202"/>
      <c r="ABD35" s="202"/>
      <c r="ABE35" s="202"/>
      <c r="ABF35" s="202"/>
      <c r="ABG35" s="202"/>
      <c r="ABH35" s="202"/>
      <c r="ABI35" s="202"/>
      <c r="ABJ35" s="202"/>
      <c r="ABK35" s="202"/>
      <c r="ABL35" s="202"/>
      <c r="ABM35" s="202"/>
      <c r="ABN35" s="202"/>
      <c r="ABO35" s="202"/>
      <c r="ABP35" s="202"/>
      <c r="ABQ35" s="202"/>
      <c r="ABR35" s="202"/>
      <c r="ABS35" s="202"/>
      <c r="ABT35" s="202"/>
      <c r="ABU35" s="202"/>
      <c r="ABV35" s="202"/>
      <c r="ABW35" s="202"/>
      <c r="ABX35" s="202"/>
      <c r="ABY35" s="202"/>
      <c r="ABZ35" s="202"/>
      <c r="ACA35" s="202"/>
      <c r="ACB35" s="202"/>
      <c r="ACC35" s="202"/>
      <c r="ACD35" s="202"/>
      <c r="ACE35" s="202"/>
      <c r="ACF35" s="202"/>
      <c r="ACG35" s="202"/>
      <c r="ACH35" s="202"/>
      <c r="ACI35" s="202"/>
      <c r="ACJ35" s="202"/>
      <c r="ACK35" s="202"/>
      <c r="ACL35" s="202"/>
      <c r="ACM35" s="202"/>
      <c r="ACN35" s="202"/>
      <c r="ACO35" s="202"/>
      <c r="ACP35" s="202"/>
      <c r="ACQ35" s="202"/>
      <c r="ACR35" s="202"/>
      <c r="ACS35" s="202"/>
      <c r="ACT35" s="202"/>
      <c r="ACU35" s="202"/>
      <c r="ACV35" s="202"/>
      <c r="ACW35" s="202"/>
      <c r="ACX35" s="202"/>
      <c r="ACY35" s="202"/>
      <c r="ACZ35" s="202"/>
      <c r="ADA35" s="202"/>
      <c r="ADB35" s="202"/>
      <c r="ADC35" s="202"/>
      <c r="ADD35" s="202"/>
      <c r="ADE35" s="202"/>
      <c r="ADF35" s="202"/>
      <c r="ADG35" s="202"/>
      <c r="ADH35" s="202"/>
      <c r="ADI35" s="202"/>
      <c r="ADJ35" s="202"/>
      <c r="ADK35" s="202"/>
      <c r="ADL35" s="202"/>
      <c r="ADM35" s="202"/>
      <c r="ADN35" s="202"/>
      <c r="ADO35" s="202"/>
      <c r="ADP35" s="202"/>
      <c r="ADQ35" s="202"/>
      <c r="ADR35" s="202"/>
      <c r="ADS35" s="202"/>
      <c r="ADT35" s="202"/>
      <c r="ADU35" s="202"/>
      <c r="ADV35" s="202"/>
      <c r="ADW35" s="202"/>
      <c r="ADX35" s="202"/>
      <c r="ADY35" s="202"/>
      <c r="ADZ35" s="202"/>
      <c r="AEA35" s="202"/>
      <c r="AEB35" s="202"/>
      <c r="AEC35" s="202"/>
      <c r="AED35" s="202"/>
      <c r="AEE35" s="202"/>
      <c r="AEF35" s="202"/>
      <c r="AEG35" s="202"/>
      <c r="AEH35" s="202"/>
      <c r="AEI35" s="202"/>
      <c r="AEJ35" s="202"/>
      <c r="AEK35" s="202"/>
      <c r="AEL35" s="202"/>
      <c r="AEM35" s="202"/>
      <c r="AEN35" s="202"/>
      <c r="AEO35" s="202"/>
      <c r="AEP35" s="202"/>
      <c r="AEQ35" s="202"/>
      <c r="AER35" s="202"/>
      <c r="AES35" s="202"/>
      <c r="AET35" s="202"/>
      <c r="AEU35" s="202"/>
      <c r="AEV35" s="202"/>
      <c r="AEW35" s="202"/>
      <c r="AEX35" s="202"/>
      <c r="AEY35" s="202"/>
      <c r="AEZ35" s="202"/>
      <c r="AFA35" s="202"/>
      <c r="AFB35" s="202"/>
      <c r="AFC35" s="202"/>
      <c r="AFD35" s="202"/>
      <c r="AFE35" s="202"/>
      <c r="AFF35" s="202"/>
      <c r="AFG35" s="202"/>
      <c r="AFH35" s="202"/>
      <c r="AFI35" s="202"/>
      <c r="AFJ35" s="202"/>
      <c r="AFK35" s="202"/>
      <c r="AFL35" s="202"/>
      <c r="AFM35" s="202"/>
      <c r="AFN35" s="202"/>
      <c r="AFO35" s="202"/>
      <c r="AFP35" s="202"/>
      <c r="AFQ35" s="202"/>
      <c r="AFR35" s="202"/>
      <c r="AFS35" s="202"/>
      <c r="AFT35" s="202"/>
      <c r="AFU35" s="202"/>
      <c r="AFV35" s="202"/>
      <c r="AFW35" s="202"/>
      <c r="AFX35" s="202"/>
      <c r="AFY35" s="202"/>
      <c r="AFZ35" s="202"/>
      <c r="AGA35" s="202"/>
      <c r="AGB35" s="202"/>
      <c r="AGC35" s="202"/>
      <c r="AGD35" s="202"/>
      <c r="AGE35" s="202"/>
      <c r="AGF35" s="202"/>
      <c r="AGG35" s="202"/>
      <c r="AGH35" s="202"/>
      <c r="AGI35" s="202"/>
      <c r="AGJ35" s="202"/>
      <c r="AGK35" s="202"/>
      <c r="AGL35" s="202"/>
      <c r="AGM35" s="202"/>
      <c r="AGN35" s="202"/>
      <c r="AGO35" s="202"/>
      <c r="AGP35" s="202"/>
      <c r="AGQ35" s="202"/>
      <c r="AGR35" s="202"/>
      <c r="AGS35" s="202"/>
      <c r="AGT35" s="202"/>
      <c r="AGU35" s="202"/>
      <c r="AGV35" s="202"/>
      <c r="AGW35" s="202"/>
      <c r="AGX35" s="202"/>
      <c r="AGY35" s="202"/>
      <c r="AGZ35" s="202"/>
      <c r="AHA35" s="202"/>
      <c r="AHB35" s="202"/>
      <c r="AHC35" s="202"/>
      <c r="AHD35" s="202"/>
      <c r="AHE35" s="202"/>
      <c r="AHF35" s="202"/>
      <c r="AHG35" s="202"/>
      <c r="AHH35" s="202"/>
      <c r="AHI35" s="202"/>
      <c r="AHJ35" s="202"/>
      <c r="AHK35" s="202"/>
      <c r="AHL35" s="202"/>
      <c r="AHM35" s="202"/>
      <c r="AHN35" s="202"/>
      <c r="AHO35" s="202"/>
      <c r="AHP35" s="202"/>
      <c r="AHQ35" s="202"/>
      <c r="AHR35" s="202"/>
      <c r="AHS35" s="202"/>
      <c r="AHT35" s="202"/>
      <c r="AHU35" s="202"/>
      <c r="AHV35" s="202"/>
      <c r="AHW35" s="202"/>
      <c r="AHX35" s="202"/>
      <c r="AHY35" s="202"/>
      <c r="AHZ35" s="202"/>
      <c r="AIA35" s="202"/>
      <c r="AIB35" s="202"/>
      <c r="AIC35" s="202"/>
      <c r="AID35" s="202"/>
      <c r="AIE35" s="202"/>
      <c r="AIF35" s="202"/>
      <c r="AIG35" s="202"/>
      <c r="AIH35" s="202"/>
      <c r="AII35" s="202"/>
      <c r="AIJ35" s="202"/>
      <c r="AIK35" s="202"/>
      <c r="AIL35" s="202"/>
      <c r="AIM35" s="202"/>
      <c r="AIN35" s="202"/>
      <c r="AIO35" s="202"/>
      <c r="AIP35" s="202"/>
      <c r="AIQ35" s="202"/>
      <c r="AIR35" s="202"/>
      <c r="AIS35" s="202"/>
      <c r="AIT35" s="202"/>
      <c r="AIU35" s="202"/>
      <c r="AIV35" s="202"/>
      <c r="AIW35" s="202"/>
      <c r="AIX35" s="202"/>
      <c r="AIY35" s="202"/>
      <c r="AIZ35" s="202"/>
      <c r="AJA35" s="202"/>
      <c r="AJB35" s="202"/>
      <c r="AJC35" s="202"/>
      <c r="AJD35" s="202"/>
      <c r="AJE35" s="202"/>
      <c r="AJF35" s="202"/>
      <c r="AJG35" s="202"/>
      <c r="AJH35" s="202"/>
      <c r="AJI35" s="202"/>
      <c r="AJJ35" s="202"/>
      <c r="AJK35" s="202"/>
      <c r="AJL35" s="202"/>
      <c r="AJM35" s="202"/>
      <c r="AJN35" s="202"/>
      <c r="AJO35" s="202"/>
      <c r="AJP35" s="202"/>
      <c r="AJQ35" s="202"/>
      <c r="AJR35" s="202"/>
      <c r="AJS35" s="202"/>
      <c r="AJT35" s="202"/>
      <c r="AJU35" s="202"/>
      <c r="AJV35" s="202"/>
      <c r="AJW35" s="202"/>
      <c r="AJX35" s="202"/>
      <c r="AJY35" s="202"/>
      <c r="AJZ35" s="202"/>
      <c r="AKA35" s="202"/>
      <c r="AKB35" s="202"/>
      <c r="AKC35" s="202"/>
      <c r="AKD35" s="202"/>
      <c r="AKE35" s="202"/>
      <c r="AKF35" s="202"/>
      <c r="AKG35" s="202"/>
      <c r="AKH35" s="202"/>
      <c r="AKI35" s="202"/>
      <c r="AKJ35" s="202"/>
      <c r="AKK35" s="202"/>
      <c r="AKL35" s="202"/>
      <c r="AKM35" s="202"/>
      <c r="AKN35" s="202"/>
      <c r="AKO35" s="202"/>
      <c r="AKP35" s="202"/>
      <c r="AKQ35" s="202"/>
      <c r="AKR35" s="202"/>
      <c r="AKS35" s="202"/>
      <c r="AKT35" s="202"/>
      <c r="AKU35" s="202"/>
      <c r="AKV35" s="202"/>
      <c r="AKW35" s="202"/>
      <c r="AKX35" s="202"/>
      <c r="AKY35" s="202"/>
      <c r="AKZ35" s="202"/>
      <c r="ALA35" s="202"/>
      <c r="ALB35" s="202"/>
      <c r="ALC35" s="202"/>
      <c r="ALD35" s="202"/>
      <c r="ALE35" s="202"/>
      <c r="ALF35" s="202"/>
      <c r="ALG35" s="202"/>
      <c r="ALH35" s="202"/>
      <c r="ALI35" s="202"/>
      <c r="ALJ35" s="202"/>
      <c r="ALK35" s="202"/>
      <c r="ALL35" s="202"/>
      <c r="ALM35" s="202"/>
      <c r="ALN35" s="202"/>
      <c r="ALO35" s="202"/>
      <c r="ALP35" s="202"/>
      <c r="ALQ35" s="202"/>
      <c r="ALR35" s="202"/>
      <c r="ALS35" s="202"/>
      <c r="ALT35" s="202"/>
      <c r="ALU35" s="202"/>
      <c r="ALV35" s="202"/>
      <c r="ALW35" s="202"/>
      <c r="ALX35" s="202"/>
      <c r="ALY35" s="202"/>
      <c r="ALZ35" s="202"/>
      <c r="AMA35" s="202"/>
      <c r="AMB35" s="202"/>
      <c r="AMC35" s="202"/>
      <c r="AMD35" s="202"/>
      <c r="AME35" s="202"/>
      <c r="AMF35" s="202"/>
      <c r="AMG35" s="202"/>
      <c r="AMH35" s="202"/>
      <c r="AMI35" s="202"/>
      <c r="AMJ35" s="202"/>
      <c r="AMK35" s="202"/>
      <c r="AML35" s="202"/>
      <c r="AMM35" s="202"/>
      <c r="AMN35" s="202"/>
    </row>
    <row r="36" spans="1:1028" ht="12.75" customHeight="1" thickBot="1" x14ac:dyDescent="0.25">
      <c r="A36" s="209"/>
      <c r="B36" s="145" t="s">
        <v>631</v>
      </c>
      <c r="C36" s="145"/>
      <c r="D36" s="145"/>
      <c r="E36" s="145"/>
      <c r="F36" s="145"/>
      <c r="G36" s="334" t="s">
        <v>611</v>
      </c>
      <c r="H36" s="334"/>
      <c r="I36" s="334" t="s">
        <v>612</v>
      </c>
      <c r="J36" s="334"/>
      <c r="K36" s="334" t="s">
        <v>611</v>
      </c>
      <c r="L36" s="334"/>
      <c r="M36" s="334" t="s">
        <v>612</v>
      </c>
      <c r="N36" s="334"/>
      <c r="O36" s="334" t="s">
        <v>611</v>
      </c>
      <c r="P36" s="334"/>
      <c r="Q36" s="334" t="s">
        <v>612</v>
      </c>
      <c r="R36" s="334"/>
      <c r="S36" s="334" t="s">
        <v>611</v>
      </c>
      <c r="T36" s="334"/>
      <c r="U36" s="335" t="s">
        <v>613</v>
      </c>
      <c r="V36" s="335"/>
      <c r="W36" s="334" t="s">
        <v>611</v>
      </c>
      <c r="X36" s="334"/>
      <c r="Y36" s="335" t="s">
        <v>612</v>
      </c>
      <c r="Z36" s="335"/>
      <c r="AA36" s="336"/>
      <c r="AB36" s="334"/>
      <c r="AC36" s="146"/>
    </row>
    <row r="37" spans="1:1028" ht="12.75" customHeight="1" x14ac:dyDescent="0.2">
      <c r="A37" s="130">
        <v>9</v>
      </c>
      <c r="B37" s="210" t="s">
        <v>632</v>
      </c>
      <c r="C37" s="147"/>
      <c r="D37" s="148"/>
      <c r="E37" s="159"/>
      <c r="F37" s="154"/>
      <c r="G37" s="151"/>
      <c r="H37" s="154"/>
      <c r="I37" s="154"/>
      <c r="J37" s="155"/>
      <c r="K37" s="154"/>
      <c r="L37" s="154"/>
      <c r="M37" s="154"/>
      <c r="N37" s="155"/>
      <c r="O37" s="151"/>
      <c r="P37" s="154"/>
      <c r="Q37" s="154"/>
      <c r="R37" s="155"/>
      <c r="S37" s="151"/>
      <c r="T37" s="154"/>
      <c r="U37" s="154"/>
      <c r="V37" s="155"/>
      <c r="W37" s="151"/>
      <c r="X37" s="154"/>
      <c r="Y37" s="154"/>
      <c r="Z37" s="155"/>
      <c r="AA37" s="151"/>
      <c r="AB37" s="154"/>
      <c r="AC37" s="155"/>
    </row>
    <row r="38" spans="1:1028" ht="12.75" customHeight="1" x14ac:dyDescent="0.2">
      <c r="A38" s="130"/>
      <c r="B38" s="156" t="s">
        <v>633</v>
      </c>
      <c r="C38" s="147" t="s">
        <v>626</v>
      </c>
      <c r="D38" s="211"/>
      <c r="E38" s="212"/>
      <c r="F38" s="213"/>
      <c r="G38" s="163"/>
      <c r="H38" s="164"/>
      <c r="I38" s="164"/>
      <c r="J38" s="165"/>
      <c r="K38" s="148"/>
      <c r="L38" s="159"/>
      <c r="M38" s="159"/>
      <c r="N38" s="160"/>
      <c r="O38" s="148"/>
      <c r="P38" s="159"/>
      <c r="Q38" s="159"/>
      <c r="R38" s="160"/>
      <c r="S38" s="148"/>
      <c r="T38" s="159"/>
      <c r="U38" s="159"/>
      <c r="V38" s="159"/>
      <c r="W38" s="161"/>
      <c r="X38" s="162"/>
      <c r="Y38" s="162"/>
      <c r="Z38" s="214"/>
      <c r="AA38" s="151"/>
      <c r="AB38" s="154"/>
      <c r="AC38" s="155"/>
    </row>
    <row r="39" spans="1:1028" ht="12.75" customHeight="1" thickBot="1" x14ac:dyDescent="0.25">
      <c r="A39" s="130"/>
      <c r="B39" s="156" t="s">
        <v>634</v>
      </c>
      <c r="C39" s="147" t="s">
        <v>626</v>
      </c>
      <c r="D39" s="215"/>
      <c r="E39" s="216"/>
      <c r="F39" s="217"/>
      <c r="G39" s="172"/>
      <c r="H39" s="173"/>
      <c r="I39" s="173"/>
      <c r="J39" s="174"/>
      <c r="K39" s="148"/>
      <c r="L39" s="159"/>
      <c r="M39" s="175"/>
      <c r="N39" s="176"/>
      <c r="O39" s="169"/>
      <c r="P39" s="175"/>
      <c r="Q39" s="175"/>
      <c r="R39" s="176"/>
      <c r="S39" s="169"/>
      <c r="T39" s="154"/>
      <c r="U39" s="154"/>
      <c r="V39" s="155"/>
      <c r="W39" s="151"/>
      <c r="X39" s="154"/>
      <c r="Y39" s="154"/>
      <c r="Z39" s="155"/>
      <c r="AA39" s="151"/>
      <c r="AB39" s="154"/>
      <c r="AC39" s="155"/>
    </row>
    <row r="40" spans="1:1028" ht="12.75" customHeight="1" thickBot="1" x14ac:dyDescent="0.25">
      <c r="A40" s="209"/>
      <c r="B40" s="145" t="s">
        <v>635</v>
      </c>
      <c r="C40" s="145"/>
      <c r="D40" s="145"/>
      <c r="E40" s="145"/>
      <c r="F40" s="145"/>
      <c r="G40" s="334" t="s">
        <v>611</v>
      </c>
      <c r="H40" s="334"/>
      <c r="I40" s="334" t="s">
        <v>612</v>
      </c>
      <c r="J40" s="334"/>
      <c r="K40" s="334" t="s">
        <v>611</v>
      </c>
      <c r="L40" s="334"/>
      <c r="M40" s="334" t="s">
        <v>612</v>
      </c>
      <c r="N40" s="334"/>
      <c r="O40" s="334" t="s">
        <v>611</v>
      </c>
      <c r="P40" s="334"/>
      <c r="Q40" s="334" t="s">
        <v>612</v>
      </c>
      <c r="R40" s="334"/>
      <c r="S40" s="334" t="s">
        <v>611</v>
      </c>
      <c r="T40" s="334"/>
      <c r="U40" s="335" t="s">
        <v>613</v>
      </c>
      <c r="V40" s="335"/>
      <c r="W40" s="334" t="s">
        <v>611</v>
      </c>
      <c r="X40" s="334"/>
      <c r="Y40" s="335" t="s">
        <v>612</v>
      </c>
      <c r="Z40" s="335"/>
      <c r="AA40" s="336"/>
      <c r="AB40" s="334"/>
      <c r="AC40" s="146"/>
    </row>
    <row r="41" spans="1:1028" ht="12.75" customHeight="1" x14ac:dyDescent="0.2">
      <c r="A41" s="130">
        <v>10</v>
      </c>
      <c r="B41" s="210" t="s">
        <v>545</v>
      </c>
      <c r="C41" s="147"/>
      <c r="D41" s="148"/>
      <c r="E41" s="159"/>
      <c r="F41" s="182"/>
      <c r="G41" s="151"/>
      <c r="H41" s="154"/>
      <c r="I41" s="154"/>
      <c r="J41" s="155"/>
      <c r="K41" s="154"/>
      <c r="L41" s="154"/>
      <c r="M41" s="154"/>
      <c r="N41" s="155"/>
      <c r="O41" s="151"/>
      <c r="P41" s="154"/>
      <c r="Q41" s="154"/>
      <c r="R41" s="155"/>
      <c r="S41" s="151"/>
      <c r="T41" s="154"/>
      <c r="U41" s="154"/>
      <c r="V41" s="155"/>
      <c r="W41" s="151"/>
      <c r="X41" s="154"/>
      <c r="Y41" s="154"/>
      <c r="Z41" s="155"/>
      <c r="AA41" s="151"/>
      <c r="AB41" s="154"/>
      <c r="AC41" s="155"/>
    </row>
    <row r="42" spans="1:1028" ht="12.75" customHeight="1" x14ac:dyDescent="0.2">
      <c r="A42" s="130"/>
      <c r="B42" s="201" t="s">
        <v>636</v>
      </c>
      <c r="C42" s="147" t="s">
        <v>615</v>
      </c>
      <c r="D42" s="148"/>
      <c r="E42" s="159"/>
      <c r="F42" s="158"/>
      <c r="G42" s="148"/>
      <c r="H42" s="159"/>
      <c r="I42" s="159"/>
      <c r="J42" s="160"/>
      <c r="K42" s="148"/>
      <c r="L42" s="159"/>
      <c r="M42" s="159"/>
      <c r="N42" s="160"/>
      <c r="O42" s="148"/>
      <c r="P42" s="159"/>
      <c r="Q42" s="159"/>
      <c r="R42" s="160"/>
      <c r="S42" s="148"/>
      <c r="T42" s="154"/>
      <c r="U42" s="154"/>
      <c r="V42" s="155"/>
      <c r="W42" s="151"/>
      <c r="X42" s="154"/>
      <c r="Y42" s="154"/>
      <c r="Z42" s="155"/>
      <c r="AA42" s="151"/>
      <c r="AB42" s="154"/>
      <c r="AC42" s="155"/>
    </row>
    <row r="43" spans="1:1028" ht="12.75" customHeight="1" x14ac:dyDescent="0.2">
      <c r="A43" s="130"/>
      <c r="B43" s="201" t="s">
        <v>637</v>
      </c>
      <c r="C43" s="147" t="s">
        <v>615</v>
      </c>
      <c r="D43" s="148"/>
      <c r="E43" s="159"/>
      <c r="F43" s="158"/>
      <c r="G43" s="163"/>
      <c r="H43" s="164"/>
      <c r="I43" s="164"/>
      <c r="J43" s="165"/>
      <c r="K43" s="148"/>
      <c r="L43" s="159"/>
      <c r="M43" s="159"/>
      <c r="N43" s="160"/>
      <c r="O43" s="163"/>
      <c r="P43" s="164"/>
      <c r="Q43" s="164"/>
      <c r="R43" s="165"/>
      <c r="S43" s="163"/>
      <c r="T43" s="164"/>
      <c r="U43" s="164"/>
      <c r="V43" s="165"/>
      <c r="W43" s="163"/>
      <c r="X43" s="164"/>
      <c r="Y43" s="164"/>
      <c r="Z43" s="165"/>
      <c r="AA43" s="163"/>
      <c r="AB43" s="164"/>
      <c r="AC43" s="165"/>
    </row>
    <row r="44" spans="1:1028" ht="12.75" customHeight="1" thickBot="1" x14ac:dyDescent="0.25">
      <c r="A44" s="166"/>
      <c r="B44" s="205" t="s">
        <v>622</v>
      </c>
      <c r="C44" s="168" t="s">
        <v>615</v>
      </c>
      <c r="D44" s="169"/>
      <c r="E44" s="175"/>
      <c r="F44" s="171"/>
      <c r="G44" s="172"/>
      <c r="H44" s="173"/>
      <c r="I44" s="173"/>
      <c r="J44" s="174"/>
      <c r="K44" s="169"/>
      <c r="L44" s="337"/>
      <c r="M44" s="337"/>
      <c r="N44" s="338"/>
      <c r="O44" s="169"/>
      <c r="P44" s="175"/>
      <c r="Q44" s="175"/>
      <c r="R44" s="176"/>
      <c r="S44" s="172"/>
      <c r="T44" s="173"/>
      <c r="U44" s="173"/>
      <c r="V44" s="174"/>
      <c r="W44" s="172"/>
      <c r="X44" s="173"/>
      <c r="Y44" s="173"/>
      <c r="Z44" s="174"/>
      <c r="AA44" s="177"/>
      <c r="AB44" s="178"/>
      <c r="AC44" s="179"/>
    </row>
    <row r="45" spans="1:1028" ht="12.75" customHeight="1" x14ac:dyDescent="0.2">
      <c r="A45" s="130">
        <v>12</v>
      </c>
      <c r="B45" s="210" t="s">
        <v>638</v>
      </c>
      <c r="C45" s="147"/>
      <c r="D45" s="148"/>
      <c r="E45" s="159"/>
      <c r="F45" s="182"/>
      <c r="G45" s="151"/>
      <c r="H45" s="154"/>
      <c r="I45" s="154"/>
      <c r="J45" s="155"/>
      <c r="K45" s="154"/>
      <c r="L45" s="154"/>
      <c r="M45" s="154"/>
      <c r="N45" s="155"/>
      <c r="O45" s="151"/>
      <c r="P45" s="154"/>
      <c r="Q45" s="154"/>
      <c r="R45" s="155"/>
      <c r="S45" s="151"/>
      <c r="T45" s="154"/>
      <c r="U45" s="154"/>
      <c r="V45" s="155"/>
      <c r="W45" s="151"/>
      <c r="X45" s="154"/>
      <c r="Y45" s="154"/>
      <c r="Z45" s="155"/>
      <c r="AA45" s="151"/>
      <c r="AB45" s="154"/>
      <c r="AC45" s="155"/>
    </row>
    <row r="46" spans="1:1028" ht="12.75" customHeight="1" x14ac:dyDescent="0.2">
      <c r="A46" s="130"/>
      <c r="B46" s="201" t="s">
        <v>636</v>
      </c>
      <c r="C46" s="147" t="s">
        <v>639</v>
      </c>
      <c r="D46" s="148"/>
      <c r="E46" s="159"/>
      <c r="F46" s="158"/>
      <c r="G46" s="148"/>
      <c r="H46" s="159"/>
      <c r="I46" s="159"/>
      <c r="J46" s="160"/>
      <c r="K46" s="148"/>
      <c r="L46" s="159"/>
      <c r="M46" s="159"/>
      <c r="N46" s="160"/>
      <c r="O46" s="148"/>
      <c r="P46" s="159"/>
      <c r="Q46" s="159"/>
      <c r="R46" s="160"/>
      <c r="S46" s="148"/>
      <c r="T46" s="182"/>
      <c r="U46" s="182"/>
      <c r="V46" s="183"/>
      <c r="W46" s="181"/>
      <c r="X46" s="182"/>
      <c r="Y46" s="182"/>
      <c r="Z46" s="183"/>
      <c r="AA46" s="181"/>
      <c r="AB46" s="182"/>
      <c r="AC46" s="183"/>
    </row>
    <row r="47" spans="1:1028" ht="12.75" customHeight="1" x14ac:dyDescent="0.2">
      <c r="A47" s="130"/>
      <c r="B47" s="201" t="s">
        <v>637</v>
      </c>
      <c r="C47" s="147" t="s">
        <v>639</v>
      </c>
      <c r="D47" s="148"/>
      <c r="E47" s="159"/>
      <c r="F47" s="158"/>
      <c r="G47" s="148"/>
      <c r="H47" s="159"/>
      <c r="I47" s="159"/>
      <c r="J47" s="160"/>
      <c r="K47" s="148"/>
      <c r="L47" s="159"/>
      <c r="M47" s="159"/>
      <c r="N47" s="165"/>
      <c r="O47" s="163"/>
      <c r="P47" s="164"/>
      <c r="Q47" s="164"/>
      <c r="R47" s="165"/>
      <c r="S47" s="163"/>
      <c r="T47" s="164"/>
      <c r="U47" s="164"/>
      <c r="V47" s="165"/>
      <c r="W47" s="163"/>
      <c r="X47" s="164"/>
      <c r="Y47" s="164"/>
      <c r="Z47" s="165"/>
      <c r="AA47" s="163"/>
      <c r="AB47" s="164"/>
      <c r="AC47" s="165"/>
    </row>
    <row r="48" spans="1:1028" ht="12.75" customHeight="1" thickBot="1" x14ac:dyDescent="0.25">
      <c r="A48" s="166"/>
      <c r="B48" s="205" t="s">
        <v>640</v>
      </c>
      <c r="C48" s="168" t="s">
        <v>641</v>
      </c>
      <c r="D48" s="169"/>
      <c r="E48" s="175"/>
      <c r="F48" s="185"/>
      <c r="G48" s="172"/>
      <c r="H48" s="173"/>
      <c r="I48" s="173"/>
      <c r="J48" s="174"/>
      <c r="K48" s="169"/>
      <c r="L48" s="337"/>
      <c r="M48" s="337"/>
      <c r="N48" s="338"/>
      <c r="O48" s="169"/>
      <c r="P48" s="175"/>
      <c r="Q48" s="175"/>
      <c r="R48" s="176"/>
      <c r="S48" s="172"/>
      <c r="T48" s="173"/>
      <c r="U48" s="173"/>
      <c r="V48" s="174"/>
      <c r="W48" s="172"/>
      <c r="X48" s="173"/>
      <c r="Y48" s="173"/>
      <c r="Z48" s="174"/>
      <c r="AA48" s="206"/>
      <c r="AB48" s="207"/>
      <c r="AC48" s="208"/>
    </row>
    <row r="49" spans="1:29" s="110" customFormat="1" ht="12.75" customHeight="1" x14ac:dyDescent="0.2">
      <c r="A49" s="130">
        <v>13</v>
      </c>
      <c r="B49" s="210" t="s">
        <v>642</v>
      </c>
      <c r="C49" s="147"/>
      <c r="D49" s="148"/>
      <c r="E49" s="159"/>
      <c r="F49" s="183"/>
      <c r="G49" s="151"/>
      <c r="H49" s="154"/>
      <c r="I49" s="154"/>
      <c r="J49" s="155"/>
      <c r="K49" s="154"/>
      <c r="L49" s="154"/>
      <c r="M49" s="154"/>
      <c r="N49" s="155"/>
      <c r="O49" s="151"/>
      <c r="P49" s="154"/>
      <c r="Q49" s="154"/>
      <c r="R49" s="155"/>
      <c r="S49" s="151"/>
      <c r="T49" s="154"/>
      <c r="U49" s="154"/>
      <c r="V49" s="155"/>
      <c r="W49" s="151"/>
      <c r="X49" s="154"/>
      <c r="Y49" s="154"/>
      <c r="Z49" s="155"/>
      <c r="AA49" s="151"/>
      <c r="AB49" s="154"/>
      <c r="AC49" s="155"/>
    </row>
    <row r="50" spans="1:29" s="110" customFormat="1" ht="12.75" customHeight="1" thickBot="1" x14ac:dyDescent="0.25">
      <c r="A50" s="166"/>
      <c r="B50" s="205" t="s">
        <v>622</v>
      </c>
      <c r="C50" s="168" t="s">
        <v>626</v>
      </c>
      <c r="D50" s="169"/>
      <c r="E50" s="175"/>
      <c r="F50" s="171"/>
      <c r="G50" s="172"/>
      <c r="H50" s="173"/>
      <c r="I50" s="173"/>
      <c r="J50" s="174"/>
      <c r="K50" s="172"/>
      <c r="L50" s="173"/>
      <c r="M50" s="173"/>
      <c r="N50" s="174"/>
      <c r="O50" s="172"/>
      <c r="P50" s="173"/>
      <c r="Q50" s="173"/>
      <c r="R50" s="174"/>
      <c r="S50" s="172"/>
      <c r="T50" s="173"/>
      <c r="U50" s="173"/>
      <c r="V50" s="174"/>
      <c r="W50" s="172"/>
      <c r="X50" s="173"/>
      <c r="Y50" s="173"/>
      <c r="Z50" s="174"/>
      <c r="AA50" s="172"/>
      <c r="AB50" s="173"/>
      <c r="AC50" s="174"/>
    </row>
    <row r="51" spans="1:29" s="110" customFormat="1" ht="12.75" hidden="1" customHeight="1" x14ac:dyDescent="0.2">
      <c r="A51" s="130">
        <v>14</v>
      </c>
      <c r="B51" s="210" t="s">
        <v>643</v>
      </c>
      <c r="C51" s="147"/>
      <c r="D51" s="148"/>
      <c r="E51" s="159"/>
      <c r="F51" s="154"/>
      <c r="G51" s="151"/>
      <c r="H51" s="154"/>
      <c r="I51" s="154"/>
      <c r="J51" s="155"/>
      <c r="K51" s="154"/>
      <c r="L51" s="154"/>
      <c r="M51" s="154"/>
      <c r="N51" s="155"/>
      <c r="O51" s="151"/>
      <c r="P51" s="154"/>
      <c r="Q51" s="154"/>
      <c r="R51" s="155"/>
      <c r="S51" s="151"/>
      <c r="T51" s="154"/>
      <c r="U51" s="154"/>
      <c r="V51" s="155"/>
      <c r="W51" s="151"/>
      <c r="X51" s="154"/>
      <c r="Y51" s="154"/>
      <c r="Z51" s="155"/>
      <c r="AA51" s="151"/>
      <c r="AB51" s="154"/>
      <c r="AC51" s="155"/>
    </row>
    <row r="52" spans="1:29" s="110" customFormat="1" ht="12.75" hidden="1" customHeight="1" thickBot="1" x14ac:dyDescent="0.25">
      <c r="A52" s="166"/>
      <c r="B52" s="205" t="s">
        <v>621</v>
      </c>
      <c r="C52" s="168" t="s">
        <v>626</v>
      </c>
      <c r="D52" s="169"/>
      <c r="E52" s="175"/>
      <c r="F52" s="217" t="s">
        <v>321</v>
      </c>
      <c r="G52" s="215" t="s">
        <v>321</v>
      </c>
      <c r="H52" s="216" t="s">
        <v>321</v>
      </c>
      <c r="I52" s="216" t="s">
        <v>321</v>
      </c>
      <c r="J52" s="217" t="s">
        <v>321</v>
      </c>
      <c r="K52" s="215" t="s">
        <v>321</v>
      </c>
      <c r="L52" s="216" t="s">
        <v>321</v>
      </c>
      <c r="M52" s="216" t="s">
        <v>321</v>
      </c>
      <c r="N52" s="217" t="s">
        <v>321</v>
      </c>
      <c r="O52" s="215" t="s">
        <v>321</v>
      </c>
      <c r="P52" s="216" t="s">
        <v>321</v>
      </c>
      <c r="Q52" s="216" t="s">
        <v>321</v>
      </c>
      <c r="R52" s="217" t="s">
        <v>321</v>
      </c>
      <c r="S52" s="215" t="s">
        <v>321</v>
      </c>
      <c r="T52" s="216" t="s">
        <v>321</v>
      </c>
      <c r="U52" s="216" t="s">
        <v>321</v>
      </c>
      <c r="V52" s="217" t="s">
        <v>321</v>
      </c>
      <c r="W52" s="215" t="s">
        <v>321</v>
      </c>
      <c r="X52" s="216" t="s">
        <v>321</v>
      </c>
      <c r="Y52" s="216" t="s">
        <v>321</v>
      </c>
      <c r="Z52" s="217" t="s">
        <v>321</v>
      </c>
      <c r="AA52" s="215"/>
      <c r="AB52" s="216"/>
      <c r="AC52" s="217"/>
    </row>
    <row r="53" spans="1:29" s="110" customFormat="1" ht="12.75" hidden="1" customHeight="1" x14ac:dyDescent="0.2">
      <c r="A53" s="130">
        <v>15</v>
      </c>
      <c r="B53" s="210" t="s">
        <v>644</v>
      </c>
      <c r="C53" s="147"/>
      <c r="D53" s="148"/>
      <c r="E53" s="159"/>
      <c r="F53" s="154"/>
      <c r="G53" s="151"/>
      <c r="H53" s="154"/>
      <c r="I53" s="154"/>
      <c r="J53" s="155"/>
      <c r="K53" s="154"/>
      <c r="L53" s="154"/>
      <c r="M53" s="154"/>
      <c r="N53" s="155"/>
      <c r="O53" s="151"/>
      <c r="P53" s="154"/>
      <c r="Q53" s="154"/>
      <c r="R53" s="155"/>
      <c r="S53" s="151"/>
      <c r="T53" s="154"/>
      <c r="U53" s="154"/>
      <c r="V53" s="155"/>
      <c r="W53" s="151"/>
      <c r="X53" s="154"/>
      <c r="Y53" s="154"/>
      <c r="Z53" s="155"/>
      <c r="AA53" s="151"/>
      <c r="AB53" s="154"/>
      <c r="AC53" s="155"/>
    </row>
    <row r="54" spans="1:29" s="110" customFormat="1" ht="12.75" hidden="1" customHeight="1" thickBot="1" x14ac:dyDescent="0.25">
      <c r="A54" s="166"/>
      <c r="B54" s="205" t="s">
        <v>621</v>
      </c>
      <c r="C54" s="168" t="s">
        <v>626</v>
      </c>
      <c r="D54" s="169"/>
      <c r="E54" s="175"/>
      <c r="F54" s="217" t="s">
        <v>321</v>
      </c>
      <c r="G54" s="215" t="s">
        <v>321</v>
      </c>
      <c r="H54" s="216" t="s">
        <v>321</v>
      </c>
      <c r="I54" s="216" t="s">
        <v>321</v>
      </c>
      <c r="J54" s="217" t="s">
        <v>321</v>
      </c>
      <c r="K54" s="215" t="s">
        <v>321</v>
      </c>
      <c r="L54" s="216" t="s">
        <v>321</v>
      </c>
      <c r="M54" s="216" t="s">
        <v>321</v>
      </c>
      <c r="N54" s="217" t="s">
        <v>321</v>
      </c>
      <c r="O54" s="215" t="s">
        <v>321</v>
      </c>
      <c r="P54" s="216" t="s">
        <v>321</v>
      </c>
      <c r="Q54" s="216" t="s">
        <v>321</v>
      </c>
      <c r="R54" s="217" t="s">
        <v>321</v>
      </c>
      <c r="S54" s="215" t="s">
        <v>321</v>
      </c>
      <c r="T54" s="216" t="s">
        <v>321</v>
      </c>
      <c r="U54" s="216" t="s">
        <v>321</v>
      </c>
      <c r="V54" s="217" t="s">
        <v>321</v>
      </c>
      <c r="W54" s="215" t="s">
        <v>321</v>
      </c>
      <c r="X54" s="216" t="s">
        <v>321</v>
      </c>
      <c r="Y54" s="216" t="s">
        <v>321</v>
      </c>
      <c r="Z54" s="217" t="s">
        <v>321</v>
      </c>
      <c r="AA54" s="215"/>
      <c r="AB54" s="216"/>
      <c r="AC54" s="217"/>
    </row>
    <row r="55" spans="1:29" s="110" customFormat="1" ht="12.75" customHeight="1" x14ac:dyDescent="0.2">
      <c r="A55" s="130">
        <v>16</v>
      </c>
      <c r="B55" s="210" t="s">
        <v>645</v>
      </c>
      <c r="C55" s="147"/>
      <c r="D55" s="148"/>
      <c r="E55" s="159"/>
      <c r="F55" s="154"/>
      <c r="G55" s="151"/>
      <c r="H55" s="154"/>
      <c r="I55" s="154"/>
      <c r="J55" s="155"/>
      <c r="K55" s="154"/>
      <c r="L55" s="154"/>
      <c r="M55" s="154"/>
      <c r="N55" s="155"/>
      <c r="O55" s="151"/>
      <c r="P55" s="154"/>
      <c r="Q55" s="154"/>
      <c r="R55" s="155"/>
      <c r="S55" s="151"/>
      <c r="T55" s="154"/>
      <c r="U55" s="154"/>
      <c r="V55" s="155"/>
      <c r="W55" s="151"/>
      <c r="X55" s="154"/>
      <c r="Y55" s="154"/>
      <c r="Z55" s="155"/>
      <c r="AA55" s="151"/>
      <c r="AB55" s="154"/>
      <c r="AC55" s="155"/>
    </row>
    <row r="56" spans="1:29" s="110" customFormat="1" ht="12.75" customHeight="1" thickBot="1" x14ac:dyDescent="0.25">
      <c r="A56" s="166"/>
      <c r="B56" s="205" t="s">
        <v>621</v>
      </c>
      <c r="C56" s="168" t="s">
        <v>626</v>
      </c>
      <c r="D56" s="169"/>
      <c r="E56" s="175"/>
      <c r="F56" s="174"/>
      <c r="G56" s="172"/>
      <c r="H56" s="173"/>
      <c r="I56" s="173"/>
      <c r="J56" s="174"/>
      <c r="K56" s="169"/>
      <c r="L56" s="175"/>
      <c r="M56" s="175"/>
      <c r="N56" s="176"/>
      <c r="O56" s="169"/>
      <c r="P56" s="175"/>
      <c r="Q56" s="175"/>
      <c r="R56" s="176"/>
      <c r="S56" s="169"/>
      <c r="T56" s="207"/>
      <c r="U56" s="207"/>
      <c r="V56" s="208"/>
      <c r="W56" s="218"/>
      <c r="X56" s="207"/>
      <c r="Y56" s="207"/>
      <c r="Z56" s="208"/>
      <c r="AA56" s="206"/>
      <c r="AB56" s="207"/>
      <c r="AC56" s="208"/>
    </row>
    <row r="57" spans="1:29" s="110" customFormat="1" ht="12.75" customHeight="1" x14ac:dyDescent="0.2">
      <c r="A57" s="130">
        <v>17</v>
      </c>
      <c r="B57" s="210" t="s">
        <v>561</v>
      </c>
      <c r="C57" s="147"/>
      <c r="D57" s="148"/>
      <c r="E57" s="159"/>
      <c r="F57" s="154"/>
      <c r="G57" s="151"/>
      <c r="H57" s="154"/>
      <c r="I57" s="154"/>
      <c r="J57" s="155"/>
      <c r="K57" s="154"/>
      <c r="L57" s="154"/>
      <c r="M57" s="154"/>
      <c r="N57" s="155"/>
      <c r="O57" s="151"/>
      <c r="P57" s="154"/>
      <c r="Q57" s="154"/>
      <c r="R57" s="155"/>
      <c r="S57" s="151"/>
      <c r="T57" s="154"/>
      <c r="U57" s="154"/>
      <c r="V57" s="155"/>
      <c r="W57" s="151"/>
      <c r="X57" s="154"/>
      <c r="Y57" s="154"/>
      <c r="Z57" s="155"/>
      <c r="AA57" s="151"/>
      <c r="AB57" s="154"/>
      <c r="AC57" s="155"/>
    </row>
    <row r="58" spans="1:29" s="110" customFormat="1" ht="12.75" customHeight="1" thickBot="1" x14ac:dyDescent="0.25">
      <c r="A58" s="166"/>
      <c r="B58" s="205" t="s">
        <v>621</v>
      </c>
      <c r="C58" s="168" t="s">
        <v>626</v>
      </c>
      <c r="D58" s="169"/>
      <c r="E58" s="175"/>
      <c r="F58" s="174"/>
      <c r="G58" s="172"/>
      <c r="H58" s="173"/>
      <c r="I58" s="173"/>
      <c r="J58" s="174"/>
      <c r="K58" s="172"/>
      <c r="L58" s="173"/>
      <c r="M58" s="173"/>
      <c r="N58" s="174"/>
      <c r="O58" s="172"/>
      <c r="P58" s="173"/>
      <c r="Q58" s="173"/>
      <c r="R58" s="174"/>
      <c r="S58" s="172"/>
      <c r="T58" s="173"/>
      <c r="U58" s="173"/>
      <c r="V58" s="174"/>
      <c r="W58" s="172"/>
      <c r="X58" s="173"/>
      <c r="Y58" s="173"/>
      <c r="Z58" s="174"/>
      <c r="AA58" s="172"/>
      <c r="AB58" s="173"/>
      <c r="AC58" s="174"/>
    </row>
    <row r="59" spans="1:29" s="110" customFormat="1" ht="12.75" customHeight="1" x14ac:dyDescent="0.2">
      <c r="A59" s="130">
        <v>18</v>
      </c>
      <c r="B59" s="210" t="s">
        <v>646</v>
      </c>
      <c r="C59" s="147"/>
      <c r="D59" s="148"/>
      <c r="E59" s="159"/>
      <c r="F59" s="182"/>
      <c r="G59" s="151"/>
      <c r="H59" s="154"/>
      <c r="I59" s="154"/>
      <c r="J59" s="155"/>
      <c r="K59" s="154"/>
      <c r="L59" s="154"/>
      <c r="M59" s="154"/>
      <c r="N59" s="155"/>
      <c r="O59" s="151"/>
      <c r="P59" s="154"/>
      <c r="Q59" s="154"/>
      <c r="R59" s="155"/>
      <c r="S59" s="151"/>
      <c r="T59" s="154"/>
      <c r="U59" s="154"/>
      <c r="V59" s="155"/>
      <c r="W59" s="151"/>
      <c r="X59" s="154"/>
      <c r="Y59" s="154"/>
      <c r="Z59" s="155"/>
      <c r="AA59" s="151"/>
      <c r="AB59" s="154"/>
      <c r="AC59" s="155"/>
    </row>
    <row r="60" spans="1:29" s="110" customFormat="1" ht="12.75" customHeight="1" thickBot="1" x14ac:dyDescent="0.25">
      <c r="A60" s="166"/>
      <c r="B60" s="205" t="s">
        <v>622</v>
      </c>
      <c r="C60" s="168" t="s">
        <v>50</v>
      </c>
      <c r="D60" s="169"/>
      <c r="E60" s="175"/>
      <c r="F60" s="171"/>
      <c r="G60" s="172"/>
      <c r="H60" s="173"/>
      <c r="I60" s="173"/>
      <c r="J60" s="174"/>
      <c r="K60" s="169"/>
      <c r="L60" s="175"/>
      <c r="M60" s="175"/>
      <c r="N60" s="174"/>
      <c r="O60" s="169"/>
      <c r="P60" s="175"/>
      <c r="Q60" s="175"/>
      <c r="R60" s="176"/>
      <c r="S60" s="172"/>
      <c r="T60" s="173"/>
      <c r="U60" s="173"/>
      <c r="V60" s="174"/>
      <c r="W60" s="172"/>
      <c r="X60" s="173"/>
      <c r="Y60" s="173"/>
      <c r="Z60" s="174"/>
      <c r="AA60" s="177"/>
      <c r="AB60" s="178"/>
      <c r="AC60" s="179"/>
    </row>
    <row r="61" spans="1:29" s="110" customFormat="1" ht="12.75" customHeight="1" x14ac:dyDescent="0.2">
      <c r="A61" s="130">
        <v>19</v>
      </c>
      <c r="B61" s="210" t="s">
        <v>647</v>
      </c>
      <c r="C61" s="147"/>
      <c r="D61" s="148"/>
      <c r="E61" s="159"/>
      <c r="F61" s="182"/>
      <c r="G61" s="151"/>
      <c r="H61" s="154"/>
      <c r="I61" s="154"/>
      <c r="J61" s="155"/>
      <c r="K61" s="154"/>
      <c r="L61" s="154"/>
      <c r="M61" s="154"/>
      <c r="N61" s="155"/>
      <c r="O61" s="151"/>
      <c r="P61" s="154"/>
      <c r="Q61" s="154"/>
      <c r="R61" s="155"/>
      <c r="S61" s="151"/>
      <c r="T61" s="154"/>
      <c r="U61" s="154"/>
      <c r="V61" s="155"/>
      <c r="W61" s="151"/>
      <c r="X61" s="154"/>
      <c r="Y61" s="154"/>
      <c r="Z61" s="155"/>
      <c r="AA61" s="151"/>
      <c r="AB61" s="154"/>
      <c r="AC61" s="155"/>
    </row>
    <row r="62" spans="1:29" s="110" customFormat="1" ht="12.75" customHeight="1" thickBot="1" x14ac:dyDescent="0.25">
      <c r="A62" s="166"/>
      <c r="B62" s="205" t="s">
        <v>622</v>
      </c>
      <c r="C62" s="168" t="s">
        <v>50</v>
      </c>
      <c r="D62" s="169"/>
      <c r="E62" s="175"/>
      <c r="F62" s="171"/>
      <c r="G62" s="219"/>
      <c r="H62" s="220"/>
      <c r="I62" s="220"/>
      <c r="J62" s="221"/>
      <c r="K62" s="169"/>
      <c r="L62" s="175"/>
      <c r="M62" s="175"/>
      <c r="N62" s="174"/>
      <c r="O62" s="172"/>
      <c r="P62" s="173"/>
      <c r="Q62" s="173"/>
      <c r="R62" s="174"/>
      <c r="S62" s="172"/>
      <c r="T62" s="173"/>
      <c r="U62" s="173"/>
      <c r="V62" s="174"/>
      <c r="W62" s="172"/>
      <c r="X62" s="173"/>
      <c r="Y62" s="173"/>
      <c r="Z62" s="174"/>
      <c r="AA62" s="177"/>
      <c r="AB62" s="178"/>
      <c r="AC62" s="179"/>
    </row>
    <row r="63" spans="1:29" s="110" customFormat="1" ht="12.75" customHeight="1" x14ac:dyDescent="0.2">
      <c r="A63" s="130">
        <v>20</v>
      </c>
      <c r="B63" s="210" t="s">
        <v>648</v>
      </c>
      <c r="C63" s="147"/>
      <c r="D63" s="148"/>
      <c r="E63" s="159"/>
      <c r="F63" s="182"/>
      <c r="G63" s="181"/>
      <c r="H63" s="182"/>
      <c r="I63" s="182"/>
      <c r="J63" s="183"/>
      <c r="K63" s="182"/>
      <c r="L63" s="182"/>
      <c r="M63" s="182"/>
      <c r="N63" s="183"/>
      <c r="O63" s="181"/>
      <c r="P63" s="182"/>
      <c r="Q63" s="182"/>
      <c r="R63" s="183"/>
      <c r="S63" s="181"/>
      <c r="T63" s="182"/>
      <c r="U63" s="182"/>
      <c r="V63" s="183"/>
      <c r="W63" s="181"/>
      <c r="X63" s="182"/>
      <c r="Y63" s="182"/>
      <c r="Z63" s="183"/>
      <c r="AA63" s="151"/>
      <c r="AB63" s="154"/>
      <c r="AC63" s="155"/>
    </row>
    <row r="64" spans="1:29" s="110" customFormat="1" ht="12.75" customHeight="1" thickBot="1" x14ac:dyDescent="0.25">
      <c r="A64" s="166"/>
      <c r="B64" s="205" t="s">
        <v>622</v>
      </c>
      <c r="C64" s="168" t="s">
        <v>50</v>
      </c>
      <c r="D64" s="169"/>
      <c r="E64" s="175"/>
      <c r="F64" s="171"/>
      <c r="G64" s="219"/>
      <c r="H64" s="220"/>
      <c r="I64" s="220"/>
      <c r="J64" s="221"/>
      <c r="K64" s="169"/>
      <c r="L64" s="175"/>
      <c r="M64" s="175"/>
      <c r="N64" s="176"/>
      <c r="O64" s="169"/>
      <c r="P64" s="175"/>
      <c r="Q64" s="175"/>
      <c r="R64" s="176"/>
      <c r="S64" s="172"/>
      <c r="T64" s="173"/>
      <c r="U64" s="173"/>
      <c r="V64" s="174"/>
      <c r="W64" s="172"/>
      <c r="X64" s="173"/>
      <c r="Y64" s="173"/>
      <c r="Z64" s="174"/>
      <c r="AA64" s="177"/>
      <c r="AB64" s="178"/>
      <c r="AC64" s="179"/>
    </row>
    <row r="65" spans="1:29" s="110" customFormat="1" ht="12.75" customHeight="1" x14ac:dyDescent="0.2">
      <c r="A65" s="130">
        <v>21</v>
      </c>
      <c r="B65" s="210" t="s">
        <v>649</v>
      </c>
      <c r="C65" s="147"/>
      <c r="D65" s="148"/>
      <c r="E65" s="159"/>
      <c r="F65" s="182"/>
      <c r="G65" s="181"/>
      <c r="H65" s="182"/>
      <c r="I65" s="182"/>
      <c r="J65" s="183"/>
      <c r="K65" s="182"/>
      <c r="L65" s="182"/>
      <c r="M65" s="182"/>
      <c r="N65" s="183"/>
      <c r="O65" s="181"/>
      <c r="P65" s="182"/>
      <c r="Q65" s="182"/>
      <c r="R65" s="183"/>
      <c r="S65" s="181"/>
      <c r="T65" s="182"/>
      <c r="U65" s="182"/>
      <c r="V65" s="183"/>
      <c r="W65" s="181"/>
      <c r="X65" s="182"/>
      <c r="Y65" s="182"/>
      <c r="Z65" s="183"/>
      <c r="AA65" s="151"/>
      <c r="AB65" s="154"/>
      <c r="AC65" s="155"/>
    </row>
    <row r="66" spans="1:29" s="110" customFormat="1" ht="12.75" customHeight="1" thickBot="1" x14ac:dyDescent="0.25">
      <c r="A66" s="166"/>
      <c r="B66" s="205" t="s">
        <v>622</v>
      </c>
      <c r="C66" s="168" t="s">
        <v>615</v>
      </c>
      <c r="D66" s="169"/>
      <c r="E66" s="175"/>
      <c r="F66" s="171"/>
      <c r="G66" s="219"/>
      <c r="H66" s="220"/>
      <c r="I66" s="220"/>
      <c r="J66" s="221"/>
      <c r="K66" s="169"/>
      <c r="L66" s="175"/>
      <c r="M66" s="175"/>
      <c r="N66" s="176"/>
      <c r="O66" s="169"/>
      <c r="P66" s="175"/>
      <c r="Q66" s="175"/>
      <c r="R66" s="176"/>
      <c r="S66" s="172"/>
      <c r="T66" s="173"/>
      <c r="U66" s="173"/>
      <c r="V66" s="174"/>
      <c r="W66" s="172"/>
      <c r="X66" s="173"/>
      <c r="Y66" s="173"/>
      <c r="Z66" s="174"/>
      <c r="AA66" s="177"/>
      <c r="AB66" s="178"/>
      <c r="AC66" s="179"/>
    </row>
    <row r="67" spans="1:29" s="110" customFormat="1" ht="12.75" customHeight="1" x14ac:dyDescent="0.2">
      <c r="A67" s="130">
        <v>22</v>
      </c>
      <c r="B67" s="210" t="s">
        <v>650</v>
      </c>
      <c r="C67" s="147"/>
      <c r="D67" s="148"/>
      <c r="E67" s="159"/>
      <c r="F67" s="182"/>
      <c r="G67" s="181"/>
      <c r="H67" s="182"/>
      <c r="I67" s="182"/>
      <c r="J67" s="183"/>
      <c r="K67" s="182"/>
      <c r="L67" s="182"/>
      <c r="M67" s="182"/>
      <c r="N67" s="183"/>
      <c r="O67" s="181"/>
      <c r="P67" s="182"/>
      <c r="Q67" s="182"/>
      <c r="R67" s="183"/>
      <c r="S67" s="181"/>
      <c r="T67" s="182"/>
      <c r="U67" s="182"/>
      <c r="V67" s="183"/>
      <c r="W67" s="181"/>
      <c r="X67" s="182"/>
      <c r="Y67" s="182"/>
      <c r="Z67" s="183"/>
      <c r="AA67" s="151"/>
      <c r="AB67" s="154"/>
      <c r="AC67" s="155"/>
    </row>
    <row r="68" spans="1:29" s="110" customFormat="1" ht="12.75" customHeight="1" thickBot="1" x14ac:dyDescent="0.25">
      <c r="A68" s="166"/>
      <c r="B68" s="205" t="s">
        <v>622</v>
      </c>
      <c r="C68" s="168" t="s">
        <v>50</v>
      </c>
      <c r="D68" s="169"/>
      <c r="E68" s="175"/>
      <c r="F68" s="171"/>
      <c r="G68" s="219"/>
      <c r="H68" s="220"/>
      <c r="I68" s="220"/>
      <c r="J68" s="221"/>
      <c r="K68" s="169"/>
      <c r="L68" s="175"/>
      <c r="M68" s="175"/>
      <c r="N68" s="176"/>
      <c r="O68" s="169"/>
      <c r="P68" s="175"/>
      <c r="Q68" s="175"/>
      <c r="R68" s="176"/>
      <c r="S68" s="172"/>
      <c r="T68" s="173"/>
      <c r="U68" s="173"/>
      <c r="V68" s="174"/>
      <c r="W68" s="172"/>
      <c r="X68" s="173"/>
      <c r="Y68" s="173"/>
      <c r="Z68" s="174"/>
      <c r="AA68" s="177"/>
      <c r="AB68" s="178"/>
      <c r="AC68" s="179"/>
    </row>
    <row r="69" spans="1:29" s="110" customFormat="1" ht="12.75" customHeight="1" x14ac:dyDescent="0.2">
      <c r="A69" s="130">
        <v>23</v>
      </c>
      <c r="B69" s="210" t="s">
        <v>651</v>
      </c>
      <c r="C69" s="147"/>
      <c r="D69" s="148"/>
      <c r="E69" s="159"/>
      <c r="F69" s="182"/>
      <c r="G69" s="181"/>
      <c r="H69" s="182"/>
      <c r="I69" s="182"/>
      <c r="J69" s="183"/>
      <c r="K69" s="182"/>
      <c r="L69" s="182"/>
      <c r="M69" s="182"/>
      <c r="N69" s="183"/>
      <c r="O69" s="181"/>
      <c r="P69" s="182"/>
      <c r="Q69" s="182"/>
      <c r="R69" s="183"/>
      <c r="S69" s="181"/>
      <c r="T69" s="182"/>
      <c r="U69" s="182"/>
      <c r="V69" s="183"/>
      <c r="W69" s="181"/>
      <c r="X69" s="182"/>
      <c r="Y69" s="182"/>
      <c r="Z69" s="183"/>
      <c r="AA69" s="151"/>
      <c r="AB69" s="154"/>
      <c r="AC69" s="155"/>
    </row>
    <row r="70" spans="1:29" s="110" customFormat="1" ht="12.75" customHeight="1" thickBot="1" x14ac:dyDescent="0.25">
      <c r="A70" s="166"/>
      <c r="B70" s="205" t="s">
        <v>622</v>
      </c>
      <c r="C70" s="168" t="s">
        <v>615</v>
      </c>
      <c r="D70" s="169"/>
      <c r="E70" s="175"/>
      <c r="F70" s="171"/>
      <c r="G70" s="219"/>
      <c r="H70" s="220"/>
      <c r="I70" s="220"/>
      <c r="J70" s="221"/>
      <c r="K70" s="169"/>
      <c r="L70" s="175"/>
      <c r="M70" s="175"/>
      <c r="N70" s="176"/>
      <c r="O70" s="169"/>
      <c r="P70" s="175"/>
      <c r="Q70" s="175"/>
      <c r="R70" s="176"/>
      <c r="S70" s="172"/>
      <c r="T70" s="173"/>
      <c r="U70" s="173"/>
      <c r="V70" s="174"/>
      <c r="W70" s="172"/>
      <c r="X70" s="173"/>
      <c r="Y70" s="173"/>
      <c r="Z70" s="174"/>
      <c r="AA70" s="177"/>
      <c r="AB70" s="178"/>
      <c r="AC70" s="179"/>
    </row>
    <row r="71" spans="1:29" s="110" customFormat="1" ht="12.75" customHeight="1" x14ac:dyDescent="0.2">
      <c r="A71" s="130">
        <v>24</v>
      </c>
      <c r="B71" s="210" t="s">
        <v>652</v>
      </c>
      <c r="C71" s="147"/>
      <c r="D71" s="148"/>
      <c r="E71" s="159"/>
      <c r="F71" s="182"/>
      <c r="G71" s="181"/>
      <c r="H71" s="182"/>
      <c r="I71" s="182"/>
      <c r="J71" s="183"/>
      <c r="K71" s="182"/>
      <c r="L71" s="182"/>
      <c r="M71" s="182"/>
      <c r="N71" s="183"/>
      <c r="O71" s="181"/>
      <c r="P71" s="182"/>
      <c r="Q71" s="182"/>
      <c r="R71" s="183"/>
      <c r="S71" s="181"/>
      <c r="T71" s="182"/>
      <c r="U71" s="182"/>
      <c r="V71" s="183"/>
      <c r="W71" s="181"/>
      <c r="X71" s="182"/>
      <c r="Y71" s="182"/>
      <c r="Z71" s="183"/>
      <c r="AA71" s="151"/>
      <c r="AB71" s="154"/>
      <c r="AC71" s="155"/>
    </row>
    <row r="72" spans="1:29" s="110" customFormat="1" ht="12.75" customHeight="1" thickBot="1" x14ac:dyDescent="0.25">
      <c r="A72" s="166"/>
      <c r="B72" s="205" t="s">
        <v>622</v>
      </c>
      <c r="C72" s="168" t="s">
        <v>50</v>
      </c>
      <c r="D72" s="169"/>
      <c r="E72" s="175"/>
      <c r="F72" s="171"/>
      <c r="G72" s="219"/>
      <c r="H72" s="220"/>
      <c r="I72" s="220"/>
      <c r="J72" s="221"/>
      <c r="K72" s="169"/>
      <c r="L72" s="175"/>
      <c r="M72" s="171"/>
      <c r="N72" s="171"/>
      <c r="O72" s="169"/>
      <c r="P72" s="175"/>
      <c r="Q72" s="175"/>
      <c r="R72" s="176"/>
      <c r="S72" s="172"/>
      <c r="T72" s="173"/>
      <c r="U72" s="173"/>
      <c r="V72" s="174"/>
      <c r="W72" s="172"/>
      <c r="X72" s="173"/>
      <c r="Y72" s="173"/>
      <c r="Z72" s="174"/>
      <c r="AA72" s="177"/>
      <c r="AB72" s="178"/>
      <c r="AC72" s="179"/>
    </row>
    <row r="73" spans="1:29" s="110" customFormat="1" ht="12.75" customHeight="1" x14ac:dyDescent="0.2">
      <c r="A73" s="130">
        <v>25</v>
      </c>
      <c r="B73" s="210" t="s">
        <v>653</v>
      </c>
      <c r="C73" s="147"/>
      <c r="D73" s="148"/>
      <c r="E73" s="159"/>
      <c r="F73" s="182"/>
      <c r="G73" s="181"/>
      <c r="H73" s="182"/>
      <c r="I73" s="182"/>
      <c r="J73" s="183"/>
      <c r="K73" s="182"/>
      <c r="L73" s="182"/>
      <c r="M73" s="182"/>
      <c r="N73" s="183"/>
      <c r="O73" s="181"/>
      <c r="P73" s="182"/>
      <c r="Q73" s="182"/>
      <c r="R73" s="183"/>
      <c r="S73" s="181"/>
      <c r="T73" s="182"/>
      <c r="U73" s="182"/>
      <c r="V73" s="183"/>
      <c r="W73" s="181"/>
      <c r="X73" s="182"/>
      <c r="Y73" s="182"/>
      <c r="Z73" s="183"/>
      <c r="AA73" s="151"/>
      <c r="AB73" s="154"/>
      <c r="AC73" s="155"/>
    </row>
    <row r="74" spans="1:29" s="110" customFormat="1" ht="12.75" customHeight="1" thickBot="1" x14ac:dyDescent="0.25">
      <c r="A74" s="166"/>
      <c r="B74" s="205" t="s">
        <v>622</v>
      </c>
      <c r="C74" s="168" t="s">
        <v>615</v>
      </c>
      <c r="D74" s="169"/>
      <c r="E74" s="175"/>
      <c r="F74" s="171"/>
      <c r="G74" s="219"/>
      <c r="H74" s="220"/>
      <c r="I74" s="220"/>
      <c r="J74" s="221"/>
      <c r="K74" s="169"/>
      <c r="L74" s="171"/>
      <c r="M74" s="171"/>
      <c r="N74" s="171"/>
      <c r="O74" s="169"/>
      <c r="P74" s="175"/>
      <c r="Q74" s="175"/>
      <c r="R74" s="176"/>
      <c r="S74" s="172"/>
      <c r="T74" s="173"/>
      <c r="U74" s="173"/>
      <c r="V74" s="174"/>
      <c r="W74" s="172"/>
      <c r="X74" s="173"/>
      <c r="Y74" s="173"/>
      <c r="Z74" s="174"/>
      <c r="AA74" s="177"/>
      <c r="AB74" s="178"/>
      <c r="AC74" s="179"/>
    </row>
    <row r="75" spans="1:29" s="110" customFormat="1" ht="12.75" customHeight="1" x14ac:dyDescent="0.2">
      <c r="A75" s="130">
        <v>26</v>
      </c>
      <c r="B75" s="210" t="s">
        <v>654</v>
      </c>
      <c r="C75" s="147"/>
      <c r="D75" s="148"/>
      <c r="E75" s="159"/>
      <c r="F75" s="182"/>
      <c r="G75" s="181"/>
      <c r="H75" s="182"/>
      <c r="I75" s="182"/>
      <c r="J75" s="183"/>
      <c r="K75" s="182"/>
      <c r="L75" s="182"/>
      <c r="M75" s="182"/>
      <c r="N75" s="183"/>
      <c r="O75" s="181"/>
      <c r="P75" s="182"/>
      <c r="Q75" s="182"/>
      <c r="R75" s="183"/>
      <c r="S75" s="181"/>
      <c r="T75" s="182"/>
      <c r="U75" s="182"/>
      <c r="V75" s="183"/>
      <c r="W75" s="181"/>
      <c r="X75" s="182"/>
      <c r="Y75" s="182"/>
      <c r="Z75" s="183"/>
      <c r="AA75" s="151"/>
      <c r="AB75" s="154"/>
      <c r="AC75" s="155"/>
    </row>
    <row r="76" spans="1:29" s="110" customFormat="1" ht="12.75" customHeight="1" thickBot="1" x14ac:dyDescent="0.25">
      <c r="A76" s="166"/>
      <c r="B76" s="205" t="s">
        <v>622</v>
      </c>
      <c r="C76" s="168" t="s">
        <v>50</v>
      </c>
      <c r="D76" s="169"/>
      <c r="E76" s="175"/>
      <c r="F76" s="171"/>
      <c r="G76" s="219"/>
      <c r="H76" s="220"/>
      <c r="I76" s="220"/>
      <c r="J76" s="221"/>
      <c r="K76" s="169"/>
      <c r="L76" s="175"/>
      <c r="M76" s="175"/>
      <c r="N76" s="176"/>
      <c r="O76" s="169"/>
      <c r="P76" s="175"/>
      <c r="Q76" s="175"/>
      <c r="R76" s="176"/>
      <c r="S76" s="172"/>
      <c r="T76" s="173"/>
      <c r="U76" s="173"/>
      <c r="V76" s="174"/>
      <c r="W76" s="172"/>
      <c r="X76" s="173"/>
      <c r="Y76" s="173"/>
      <c r="Z76" s="174"/>
      <c r="AA76" s="177"/>
      <c r="AB76" s="178"/>
      <c r="AC76" s="179"/>
    </row>
    <row r="77" spans="1:29" s="110" customFormat="1" ht="12.75" customHeight="1" x14ac:dyDescent="0.2">
      <c r="A77" s="130">
        <v>27</v>
      </c>
      <c r="B77" s="210" t="s">
        <v>655</v>
      </c>
      <c r="C77" s="147"/>
      <c r="D77" s="148"/>
      <c r="E77" s="159"/>
      <c r="F77" s="182"/>
      <c r="G77" s="181"/>
      <c r="H77" s="182"/>
      <c r="I77" s="182"/>
      <c r="J77" s="183"/>
      <c r="K77" s="182"/>
      <c r="L77" s="182"/>
      <c r="M77" s="182"/>
      <c r="N77" s="183"/>
      <c r="O77" s="181"/>
      <c r="P77" s="182"/>
      <c r="Q77" s="182"/>
      <c r="R77" s="183"/>
      <c r="S77" s="181"/>
      <c r="T77" s="182"/>
      <c r="U77" s="182"/>
      <c r="V77" s="183"/>
      <c r="W77" s="181"/>
      <c r="X77" s="182"/>
      <c r="Y77" s="182"/>
      <c r="Z77" s="183"/>
      <c r="AA77" s="151"/>
      <c r="AB77" s="154"/>
      <c r="AC77" s="155"/>
    </row>
    <row r="78" spans="1:29" s="110" customFormat="1" ht="12.75" customHeight="1" thickBot="1" x14ac:dyDescent="0.25">
      <c r="A78" s="166"/>
      <c r="B78" s="205" t="s">
        <v>622</v>
      </c>
      <c r="C78" s="168" t="s">
        <v>50</v>
      </c>
      <c r="D78" s="169"/>
      <c r="E78" s="175"/>
      <c r="F78" s="171"/>
      <c r="G78" s="219"/>
      <c r="H78" s="220"/>
      <c r="I78" s="220"/>
      <c r="J78" s="221"/>
      <c r="K78" s="169"/>
      <c r="L78" s="337"/>
      <c r="M78" s="337"/>
      <c r="N78" s="338"/>
      <c r="O78" s="172"/>
      <c r="P78" s="173"/>
      <c r="Q78" s="173"/>
      <c r="R78" s="174"/>
      <c r="S78" s="172"/>
      <c r="T78" s="173"/>
      <c r="U78" s="173"/>
      <c r="V78" s="174"/>
      <c r="W78" s="172"/>
      <c r="X78" s="173"/>
      <c r="Y78" s="173"/>
      <c r="Z78" s="174"/>
      <c r="AA78" s="177"/>
      <c r="AB78" s="178"/>
      <c r="AC78" s="179"/>
    </row>
    <row r="79" spans="1:29" s="110" customFormat="1" ht="12.75" customHeight="1" x14ac:dyDescent="0.2">
      <c r="A79" s="130">
        <v>28</v>
      </c>
      <c r="B79" s="210" t="s">
        <v>656</v>
      </c>
      <c r="C79" s="147"/>
      <c r="D79" s="148"/>
      <c r="E79" s="159"/>
      <c r="F79" s="182"/>
      <c r="G79" s="181"/>
      <c r="H79" s="182"/>
      <c r="I79" s="182"/>
      <c r="J79" s="183"/>
      <c r="K79" s="182"/>
      <c r="L79" s="182"/>
      <c r="M79" s="182"/>
      <c r="N79" s="183"/>
      <c r="O79" s="181"/>
      <c r="P79" s="182"/>
      <c r="Q79" s="182"/>
      <c r="R79" s="183"/>
      <c r="S79" s="181"/>
      <c r="T79" s="182"/>
      <c r="U79" s="182"/>
      <c r="V79" s="183"/>
      <c r="W79" s="181"/>
      <c r="X79" s="182"/>
      <c r="Y79" s="182"/>
      <c r="Z79" s="183"/>
      <c r="AA79" s="151"/>
      <c r="AB79" s="154"/>
      <c r="AC79" s="155"/>
    </row>
    <row r="80" spans="1:29" s="110" customFormat="1" ht="12.75" customHeight="1" thickBot="1" x14ac:dyDescent="0.25">
      <c r="A80" s="166"/>
      <c r="B80" s="205" t="s">
        <v>622</v>
      </c>
      <c r="C80" s="168" t="s">
        <v>615</v>
      </c>
      <c r="D80" s="169"/>
      <c r="E80" s="175"/>
      <c r="F80" s="171"/>
      <c r="G80" s="219"/>
      <c r="H80" s="220"/>
      <c r="I80" s="220"/>
      <c r="J80" s="221"/>
      <c r="K80" s="169"/>
      <c r="L80" s="337"/>
      <c r="M80" s="337"/>
      <c r="N80" s="338"/>
      <c r="O80" s="172"/>
      <c r="P80" s="173"/>
      <c r="Q80" s="173"/>
      <c r="R80" s="174"/>
      <c r="S80" s="172"/>
      <c r="T80" s="173"/>
      <c r="U80" s="173"/>
      <c r="V80" s="174"/>
      <c r="W80" s="172"/>
      <c r="X80" s="173"/>
      <c r="Y80" s="173"/>
      <c r="Z80" s="174"/>
      <c r="AA80" s="177"/>
      <c r="AB80" s="178"/>
      <c r="AC80" s="179"/>
    </row>
    <row r="81" spans="1:29" s="110" customFormat="1" ht="12.75" customHeight="1" x14ac:dyDescent="0.2">
      <c r="A81" s="130">
        <v>29</v>
      </c>
      <c r="B81" s="210" t="s">
        <v>657</v>
      </c>
      <c r="C81" s="147"/>
      <c r="D81" s="181"/>
      <c r="E81" s="182"/>
      <c r="F81" s="182"/>
      <c r="G81" s="181"/>
      <c r="H81" s="222"/>
      <c r="I81" s="222"/>
      <c r="J81" s="183"/>
      <c r="K81" s="182"/>
      <c r="L81" s="182"/>
      <c r="M81" s="182"/>
      <c r="N81" s="183"/>
      <c r="O81" s="196"/>
      <c r="P81" s="193"/>
      <c r="Q81" s="193"/>
      <c r="R81" s="197"/>
      <c r="S81" s="181"/>
      <c r="T81" s="182"/>
      <c r="U81" s="182"/>
      <c r="V81" s="183"/>
      <c r="W81" s="181"/>
      <c r="X81" s="182"/>
      <c r="Y81" s="182"/>
      <c r="Z81" s="183"/>
      <c r="AA81" s="151"/>
      <c r="AB81" s="154"/>
      <c r="AC81" s="155"/>
    </row>
    <row r="82" spans="1:29" s="110" customFormat="1" ht="12.75" customHeight="1" x14ac:dyDescent="0.2">
      <c r="A82" s="130"/>
      <c r="B82" s="201" t="s">
        <v>658</v>
      </c>
      <c r="C82" s="147" t="s">
        <v>615</v>
      </c>
      <c r="D82" s="148"/>
      <c r="E82" s="159"/>
      <c r="F82" s="158"/>
      <c r="G82" s="223"/>
      <c r="H82" s="224"/>
      <c r="I82" s="224"/>
      <c r="J82" s="225"/>
      <c r="K82" s="148"/>
      <c r="L82" s="158"/>
      <c r="M82" s="224"/>
      <c r="N82" s="226"/>
      <c r="O82" s="148"/>
      <c r="P82" s="159"/>
      <c r="Q82" s="224"/>
      <c r="R82" s="160"/>
      <c r="S82" s="163"/>
      <c r="T82" s="164"/>
      <c r="U82" s="164"/>
      <c r="V82" s="165"/>
      <c r="W82" s="163"/>
      <c r="X82" s="164"/>
      <c r="Y82" s="164"/>
      <c r="Z82" s="165"/>
      <c r="AA82" s="151"/>
      <c r="AB82" s="154"/>
      <c r="AC82" s="225"/>
    </row>
    <row r="83" spans="1:29" s="110" customFormat="1" ht="12.75" customHeight="1" thickBot="1" x14ac:dyDescent="0.25">
      <c r="A83" s="130"/>
      <c r="B83" s="201" t="s">
        <v>659</v>
      </c>
      <c r="C83" s="147" t="s">
        <v>615</v>
      </c>
      <c r="D83" s="169"/>
      <c r="E83" s="175"/>
      <c r="F83" s="185"/>
      <c r="G83" s="219"/>
      <c r="H83" s="220"/>
      <c r="I83" s="220"/>
      <c r="J83" s="221"/>
      <c r="K83" s="169"/>
      <c r="L83" s="171"/>
      <c r="M83" s="224"/>
      <c r="N83" s="171"/>
      <c r="O83" s="169"/>
      <c r="P83" s="175"/>
      <c r="Q83" s="224"/>
      <c r="R83" s="176"/>
      <c r="S83" s="172"/>
      <c r="T83" s="173"/>
      <c r="U83" s="173"/>
      <c r="V83" s="174"/>
      <c r="W83" s="172"/>
      <c r="X83" s="173"/>
      <c r="Y83" s="173"/>
      <c r="Z83" s="174"/>
      <c r="AA83" s="151"/>
      <c r="AB83" s="154"/>
      <c r="AC83" s="225"/>
    </row>
    <row r="84" spans="1:29" s="110" customFormat="1" ht="12.75" customHeight="1" thickBot="1" x14ac:dyDescent="0.25">
      <c r="A84" s="209"/>
      <c r="B84" s="227" t="s">
        <v>660</v>
      </c>
      <c r="C84" s="228"/>
      <c r="D84" s="228"/>
      <c r="E84" s="228"/>
      <c r="F84" s="228"/>
      <c r="G84" s="334" t="s">
        <v>611</v>
      </c>
      <c r="H84" s="334"/>
      <c r="I84" s="334" t="s">
        <v>612</v>
      </c>
      <c r="J84" s="334"/>
      <c r="K84" s="334" t="s">
        <v>611</v>
      </c>
      <c r="L84" s="334"/>
      <c r="M84" s="334" t="s">
        <v>612</v>
      </c>
      <c r="N84" s="334"/>
      <c r="O84" s="334" t="s">
        <v>611</v>
      </c>
      <c r="P84" s="334"/>
      <c r="Q84" s="334" t="s">
        <v>612</v>
      </c>
      <c r="R84" s="334"/>
      <c r="S84" s="334" t="s">
        <v>611</v>
      </c>
      <c r="T84" s="334"/>
      <c r="U84" s="335" t="s">
        <v>613</v>
      </c>
      <c r="V84" s="335"/>
      <c r="W84" s="334" t="s">
        <v>611</v>
      </c>
      <c r="X84" s="334"/>
      <c r="Y84" s="335" t="s">
        <v>612</v>
      </c>
      <c r="Z84" s="335"/>
      <c r="AA84" s="336"/>
      <c r="AB84" s="334"/>
      <c r="AC84" s="146"/>
    </row>
    <row r="85" spans="1:29" s="110" customFormat="1" ht="12.75" customHeight="1" x14ac:dyDescent="0.2">
      <c r="A85" s="229">
        <v>30</v>
      </c>
      <c r="B85" s="210" t="s">
        <v>661</v>
      </c>
      <c r="C85" s="104"/>
      <c r="D85" s="148"/>
      <c r="E85" s="159"/>
      <c r="F85" s="182"/>
      <c r="G85" s="148"/>
      <c r="H85" s="230"/>
      <c r="I85" s="230"/>
      <c r="J85" s="231"/>
      <c r="K85" s="148"/>
      <c r="L85" s="230"/>
      <c r="M85" s="230"/>
      <c r="N85" s="231"/>
      <c r="O85" s="148"/>
      <c r="P85" s="230"/>
      <c r="Q85" s="230"/>
      <c r="R85" s="231"/>
      <c r="S85" s="151"/>
      <c r="T85" s="154"/>
      <c r="U85" s="154"/>
      <c r="V85" s="155"/>
      <c r="W85" s="151"/>
      <c r="X85" s="154"/>
      <c r="Y85" s="154"/>
      <c r="Z85" s="155"/>
      <c r="AA85" s="151"/>
      <c r="AB85" s="154"/>
      <c r="AC85" s="155"/>
    </row>
    <row r="86" spans="1:29" s="110" customFormat="1" ht="12.75" customHeight="1" thickBot="1" x14ac:dyDescent="0.25">
      <c r="A86" s="232"/>
      <c r="B86" s="167" t="s">
        <v>621</v>
      </c>
      <c r="C86" s="168" t="s">
        <v>639</v>
      </c>
      <c r="D86" s="169"/>
      <c r="E86" s="175"/>
      <c r="F86" s="171"/>
      <c r="G86" s="169"/>
      <c r="H86" s="175"/>
      <c r="I86" s="175"/>
      <c r="J86" s="176"/>
      <c r="K86" s="169"/>
      <c r="L86" s="175"/>
      <c r="M86" s="175"/>
      <c r="N86" s="176"/>
      <c r="O86" s="169"/>
      <c r="P86" s="175"/>
      <c r="Q86" s="175"/>
      <c r="R86" s="176"/>
      <c r="S86" s="169"/>
      <c r="T86" s="178"/>
      <c r="U86" s="178"/>
      <c r="V86" s="179"/>
      <c r="W86" s="177"/>
      <c r="X86" s="178"/>
      <c r="Y86" s="178"/>
      <c r="Z86" s="179"/>
      <c r="AA86" s="177"/>
      <c r="AB86" s="178"/>
      <c r="AC86" s="179"/>
    </row>
    <row r="87" spans="1:29" s="110" customFormat="1" ht="12.75" customHeight="1" x14ac:dyDescent="0.2">
      <c r="A87" s="229">
        <v>31</v>
      </c>
      <c r="B87" s="131" t="s">
        <v>662</v>
      </c>
      <c r="C87" s="104"/>
      <c r="D87" s="148"/>
      <c r="E87" s="159"/>
      <c r="F87" s="182"/>
      <c r="G87" s="148"/>
      <c r="H87" s="230"/>
      <c r="I87" s="230"/>
      <c r="J87" s="231"/>
      <c r="K87" s="148"/>
      <c r="L87" s="230"/>
      <c r="M87" s="230"/>
      <c r="N87" s="231"/>
      <c r="O87" s="148"/>
      <c r="P87" s="230"/>
      <c r="Q87" s="230"/>
      <c r="R87" s="231"/>
      <c r="S87" s="181"/>
      <c r="T87" s="154"/>
      <c r="U87" s="154"/>
      <c r="V87" s="155"/>
      <c r="W87" s="151"/>
      <c r="X87" s="154"/>
      <c r="Y87" s="154"/>
      <c r="Z87" s="155"/>
      <c r="AA87" s="151"/>
      <c r="AB87" s="154"/>
      <c r="AC87" s="155"/>
    </row>
    <row r="88" spans="1:29" s="110" customFormat="1" ht="12.75" customHeight="1" thickBot="1" x14ac:dyDescent="0.25">
      <c r="A88" s="232"/>
      <c r="B88" s="167" t="s">
        <v>621</v>
      </c>
      <c r="C88" s="168" t="s">
        <v>626</v>
      </c>
      <c r="D88" s="169"/>
      <c r="E88" s="175"/>
      <c r="F88" s="171"/>
      <c r="G88" s="169"/>
      <c r="H88" s="175"/>
      <c r="I88" s="175"/>
      <c r="J88" s="176"/>
      <c r="K88" s="169"/>
      <c r="L88" s="175"/>
      <c r="M88" s="175"/>
      <c r="N88" s="176"/>
      <c r="O88" s="169"/>
      <c r="P88" s="175"/>
      <c r="Q88" s="175"/>
      <c r="R88" s="176"/>
      <c r="S88" s="169"/>
      <c r="T88" s="178"/>
      <c r="U88" s="178"/>
      <c r="V88" s="179"/>
      <c r="W88" s="177"/>
      <c r="X88" s="178"/>
      <c r="Y88" s="178"/>
      <c r="Z88" s="179"/>
      <c r="AA88" s="177"/>
      <c r="AB88" s="178"/>
      <c r="AC88" s="179"/>
    </row>
    <row r="89" spans="1:29" s="110" customFormat="1" ht="12.75" customHeight="1" x14ac:dyDescent="0.2">
      <c r="A89" s="229">
        <v>32</v>
      </c>
      <c r="B89" s="131" t="s">
        <v>663</v>
      </c>
      <c r="C89" s="104"/>
      <c r="D89" s="148"/>
      <c r="E89" s="159"/>
      <c r="F89" s="182"/>
      <c r="G89" s="148"/>
      <c r="H89" s="230"/>
      <c r="I89" s="230"/>
      <c r="J89" s="231"/>
      <c r="K89" s="148"/>
      <c r="L89" s="230"/>
      <c r="M89" s="230"/>
      <c r="N89" s="231"/>
      <c r="O89" s="148"/>
      <c r="P89" s="230"/>
      <c r="Q89" s="230"/>
      <c r="R89" s="231"/>
      <c r="S89" s="181"/>
      <c r="T89" s="154"/>
      <c r="U89" s="154"/>
      <c r="V89" s="155"/>
      <c r="W89" s="151"/>
      <c r="X89" s="154"/>
      <c r="Y89" s="154"/>
      <c r="Z89" s="155"/>
      <c r="AA89" s="151"/>
      <c r="AB89" s="154"/>
      <c r="AC89" s="155"/>
    </row>
    <row r="90" spans="1:29" s="110" customFormat="1" ht="12.75" customHeight="1" thickBot="1" x14ac:dyDescent="0.25">
      <c r="A90" s="232"/>
      <c r="B90" s="167" t="s">
        <v>621</v>
      </c>
      <c r="C90" s="168" t="s">
        <v>50</v>
      </c>
      <c r="D90" s="169"/>
      <c r="E90" s="175"/>
      <c r="F90" s="171"/>
      <c r="G90" s="169"/>
      <c r="H90" s="175"/>
      <c r="I90" s="175"/>
      <c r="J90" s="176"/>
      <c r="K90" s="169"/>
      <c r="L90" s="175"/>
      <c r="M90" s="175"/>
      <c r="N90" s="176"/>
      <c r="O90" s="169"/>
      <c r="P90" s="175"/>
      <c r="Q90" s="175"/>
      <c r="R90" s="176"/>
      <c r="S90" s="169"/>
      <c r="T90" s="178"/>
      <c r="U90" s="178"/>
      <c r="V90" s="179"/>
      <c r="W90" s="177"/>
      <c r="X90" s="178"/>
      <c r="Y90" s="178"/>
      <c r="Z90" s="179"/>
      <c r="AA90" s="177"/>
      <c r="AB90" s="178"/>
      <c r="AC90" s="179"/>
    </row>
    <row r="91" spans="1:29" s="110" customFormat="1" ht="12.75" customHeight="1" thickBot="1" x14ac:dyDescent="0.25">
      <c r="A91" s="233">
        <v>33</v>
      </c>
      <c r="B91" s="190" t="s">
        <v>664</v>
      </c>
      <c r="C91" s="339" t="s">
        <v>665</v>
      </c>
      <c r="D91" s="234"/>
      <c r="E91" s="230"/>
      <c r="F91" s="193"/>
      <c r="G91" s="234"/>
      <c r="H91" s="230"/>
      <c r="I91" s="230"/>
      <c r="J91" s="231"/>
      <c r="K91" s="234"/>
      <c r="L91" s="230"/>
      <c r="M91" s="230"/>
      <c r="N91" s="231"/>
      <c r="O91" s="148"/>
      <c r="P91" s="230"/>
      <c r="Q91" s="230"/>
      <c r="R91" s="231"/>
      <c r="S91" s="196"/>
      <c r="T91" s="194"/>
      <c r="U91" s="194"/>
      <c r="V91" s="155"/>
      <c r="W91" s="198"/>
      <c r="X91" s="194"/>
      <c r="Y91" s="194"/>
      <c r="Z91" s="155"/>
      <c r="AA91" s="198"/>
      <c r="AB91" s="194"/>
      <c r="AC91" s="195"/>
    </row>
    <row r="92" spans="1:29" s="110" customFormat="1" ht="12.75" customHeight="1" thickBot="1" x14ac:dyDescent="0.25">
      <c r="A92" s="232"/>
      <c r="B92" s="167" t="s">
        <v>621</v>
      </c>
      <c r="C92" s="339"/>
      <c r="D92" s="169"/>
      <c r="E92" s="175"/>
      <c r="F92" s="171"/>
      <c r="G92" s="169"/>
      <c r="H92" s="184"/>
      <c r="I92" s="184"/>
      <c r="J92" s="176"/>
      <c r="K92" s="169"/>
      <c r="L92" s="175"/>
      <c r="M92" s="175"/>
      <c r="N92" s="176"/>
      <c r="O92" s="169"/>
      <c r="P92" s="175"/>
      <c r="Q92" s="175"/>
      <c r="R92" s="176"/>
      <c r="S92" s="169"/>
      <c r="T92" s="178"/>
      <c r="U92" s="178"/>
      <c r="V92" s="179"/>
      <c r="W92" s="177"/>
      <c r="X92" s="178"/>
      <c r="Y92" s="178"/>
      <c r="Z92" s="179"/>
      <c r="AA92" s="177"/>
      <c r="AB92" s="178"/>
      <c r="AC92" s="179"/>
    </row>
    <row r="93" spans="1:29" s="110" customFormat="1" ht="12.75" customHeight="1" thickBot="1" x14ac:dyDescent="0.25">
      <c r="A93" s="233">
        <v>34</v>
      </c>
      <c r="B93" s="190" t="s">
        <v>666</v>
      </c>
      <c r="C93" s="339" t="s">
        <v>665</v>
      </c>
      <c r="D93" s="234"/>
      <c r="E93" s="230"/>
      <c r="F93" s="193"/>
      <c r="G93" s="234"/>
      <c r="H93" s="230"/>
      <c r="I93" s="230"/>
      <c r="J93" s="231"/>
      <c r="K93" s="234"/>
      <c r="L93" s="230"/>
      <c r="M93" s="230"/>
      <c r="N93" s="231"/>
      <c r="O93" s="148"/>
      <c r="P93" s="230"/>
      <c r="Q93" s="230"/>
      <c r="R93" s="231"/>
      <c r="S93" s="196"/>
      <c r="T93" s="194"/>
      <c r="U93" s="194"/>
      <c r="V93" s="155"/>
      <c r="W93" s="198"/>
      <c r="X93" s="194"/>
      <c r="Y93" s="194"/>
      <c r="Z93" s="155"/>
      <c r="AA93" s="198"/>
      <c r="AB93" s="194"/>
      <c r="AC93" s="195"/>
    </row>
    <row r="94" spans="1:29" s="110" customFormat="1" ht="12.75" customHeight="1" thickBot="1" x14ac:dyDescent="0.25">
      <c r="A94" s="232"/>
      <c r="B94" s="167" t="s">
        <v>621</v>
      </c>
      <c r="C94" s="339"/>
      <c r="D94" s="169"/>
      <c r="E94" s="175"/>
      <c r="F94" s="171"/>
      <c r="G94" s="169"/>
      <c r="H94" s="184"/>
      <c r="I94" s="184"/>
      <c r="J94" s="176"/>
      <c r="K94" s="169"/>
      <c r="L94" s="175"/>
      <c r="M94" s="175"/>
      <c r="N94" s="176"/>
      <c r="O94" s="169"/>
      <c r="P94" s="175"/>
      <c r="Q94" s="175"/>
      <c r="R94" s="176"/>
      <c r="S94" s="169"/>
      <c r="T94" s="178"/>
      <c r="U94" s="178"/>
      <c r="V94" s="179"/>
      <c r="W94" s="177"/>
      <c r="X94" s="178"/>
      <c r="Y94" s="178"/>
      <c r="Z94" s="179"/>
      <c r="AA94" s="177"/>
      <c r="AB94" s="178"/>
      <c r="AC94" s="179"/>
    </row>
    <row r="95" spans="1:29" s="110" customFormat="1" ht="12.75" customHeight="1" thickBot="1" x14ac:dyDescent="0.25">
      <c r="A95" s="233">
        <v>35</v>
      </c>
      <c r="B95" s="190" t="s">
        <v>667</v>
      </c>
      <c r="C95" s="339" t="s">
        <v>665</v>
      </c>
      <c r="D95" s="234"/>
      <c r="E95" s="230"/>
      <c r="F95" s="193"/>
      <c r="G95" s="234"/>
      <c r="H95" s="230"/>
      <c r="I95" s="230"/>
      <c r="J95" s="231"/>
      <c r="K95" s="148"/>
      <c r="L95" s="230"/>
      <c r="M95" s="230"/>
      <c r="N95" s="231"/>
      <c r="O95" s="148"/>
      <c r="P95" s="230"/>
      <c r="Q95" s="230"/>
      <c r="R95" s="231"/>
      <c r="S95" s="196"/>
      <c r="T95" s="194"/>
      <c r="U95" s="194"/>
      <c r="V95" s="155"/>
      <c r="W95" s="198"/>
      <c r="X95" s="194"/>
      <c r="Y95" s="194"/>
      <c r="Z95" s="155"/>
      <c r="AA95" s="198"/>
      <c r="AB95" s="194"/>
      <c r="AC95" s="195"/>
    </row>
    <row r="96" spans="1:29" s="110" customFormat="1" ht="12.75" customHeight="1" thickBot="1" x14ac:dyDescent="0.25">
      <c r="A96" s="232"/>
      <c r="B96" s="167" t="s">
        <v>621</v>
      </c>
      <c r="C96" s="339"/>
      <c r="D96" s="169"/>
      <c r="E96" s="175"/>
      <c r="F96" s="171"/>
      <c r="G96" s="169"/>
      <c r="H96" s="184"/>
      <c r="I96" s="184"/>
      <c r="J96" s="176"/>
      <c r="K96" s="169"/>
      <c r="L96" s="175"/>
      <c r="M96" s="175"/>
      <c r="N96" s="176"/>
      <c r="O96" s="169"/>
      <c r="P96" s="175"/>
      <c r="Q96" s="175"/>
      <c r="R96" s="176"/>
      <c r="S96" s="169"/>
      <c r="T96" s="178"/>
      <c r="U96" s="178"/>
      <c r="V96" s="179"/>
      <c r="W96" s="177"/>
      <c r="X96" s="178"/>
      <c r="Y96" s="178"/>
      <c r="Z96" s="179"/>
      <c r="AA96" s="177"/>
      <c r="AB96" s="178"/>
      <c r="AC96" s="179"/>
    </row>
    <row r="97" spans="1:29" s="110" customFormat="1" ht="12.75" customHeight="1" thickBot="1" x14ac:dyDescent="0.25">
      <c r="A97" s="233">
        <v>36</v>
      </c>
      <c r="B97" s="190" t="s">
        <v>668</v>
      </c>
      <c r="C97" s="339" t="s">
        <v>669</v>
      </c>
      <c r="D97" s="230"/>
      <c r="E97" s="230"/>
      <c r="F97" s="193"/>
      <c r="G97" s="234"/>
      <c r="H97" s="230"/>
      <c r="I97" s="230"/>
      <c r="J97" s="160"/>
      <c r="K97" s="234"/>
      <c r="L97" s="230"/>
      <c r="M97" s="230"/>
      <c r="N97" s="231"/>
      <c r="O97" s="148"/>
      <c r="P97" s="230"/>
      <c r="Q97" s="230"/>
      <c r="R97" s="231"/>
      <c r="S97" s="196"/>
      <c r="T97" s="194"/>
      <c r="U97" s="194"/>
      <c r="V97" s="155"/>
      <c r="W97" s="198"/>
      <c r="X97" s="194"/>
      <c r="Y97" s="194"/>
      <c r="Z97" s="155"/>
      <c r="AA97" s="198"/>
      <c r="AB97" s="194"/>
      <c r="AC97" s="195"/>
    </row>
    <row r="98" spans="1:29" s="110" customFormat="1" ht="12.75" customHeight="1" thickBot="1" x14ac:dyDescent="0.25">
      <c r="A98" s="235"/>
      <c r="B98" s="167" t="s">
        <v>621</v>
      </c>
      <c r="C98" s="339"/>
      <c r="D98" s="175"/>
      <c r="E98" s="175"/>
      <c r="F98" s="171"/>
      <c r="G98" s="169"/>
      <c r="H98" s="184"/>
      <c r="I98" s="184"/>
      <c r="J98" s="176"/>
      <c r="K98" s="169"/>
      <c r="L98" s="175"/>
      <c r="M98" s="175"/>
      <c r="N98" s="176"/>
      <c r="O98" s="169"/>
      <c r="P98" s="175"/>
      <c r="Q98" s="175"/>
      <c r="R98" s="176"/>
      <c r="S98" s="169"/>
      <c r="T98" s="178"/>
      <c r="U98" s="178"/>
      <c r="V98" s="179"/>
      <c r="W98" s="177"/>
      <c r="X98" s="178"/>
      <c r="Y98" s="178"/>
      <c r="Z98" s="179"/>
      <c r="AA98" s="177"/>
      <c r="AB98" s="178"/>
      <c r="AC98" s="179"/>
    </row>
    <row r="99" spans="1:29" s="110" customFormat="1" ht="12.75" customHeight="1" x14ac:dyDescent="0.2">
      <c r="A99" s="102">
        <v>37</v>
      </c>
      <c r="B99" s="131" t="s">
        <v>670</v>
      </c>
      <c r="C99" s="236"/>
      <c r="D99" s="159"/>
      <c r="E99" s="237"/>
      <c r="F99" s="238"/>
      <c r="G99" s="112"/>
      <c r="J99" s="155"/>
      <c r="K99" s="148"/>
      <c r="L99" s="230"/>
      <c r="M99" s="230"/>
      <c r="N99" s="231"/>
      <c r="O99" s="148"/>
      <c r="P99" s="230"/>
      <c r="Q99" s="230"/>
      <c r="R99" s="231"/>
      <c r="S99" s="112"/>
      <c r="V99" s="155"/>
      <c r="W99" s="112"/>
      <c r="Z99" s="155"/>
      <c r="AA99" s="112"/>
      <c r="AC99" s="239"/>
    </row>
    <row r="100" spans="1:29" s="110" customFormat="1" ht="12.75" customHeight="1" thickBot="1" x14ac:dyDescent="0.25">
      <c r="A100" s="240"/>
      <c r="B100" s="156" t="s">
        <v>622</v>
      </c>
      <c r="C100" s="241" t="s">
        <v>50</v>
      </c>
      <c r="D100" s="242"/>
      <c r="E100" s="175"/>
      <c r="F100" s="171"/>
      <c r="G100" s="219"/>
      <c r="H100" s="220"/>
      <c r="I100" s="220"/>
      <c r="J100" s="221"/>
      <c r="K100" s="169"/>
      <c r="L100" s="175"/>
      <c r="M100" s="175"/>
      <c r="N100" s="176"/>
      <c r="O100" s="169"/>
      <c r="P100" s="175"/>
      <c r="Q100" s="175"/>
      <c r="R100" s="176"/>
      <c r="S100" s="172"/>
      <c r="T100" s="173"/>
      <c r="U100" s="173"/>
      <c r="V100" s="174"/>
      <c r="W100" s="172"/>
      <c r="X100" s="173"/>
      <c r="Y100" s="173"/>
      <c r="Z100" s="174"/>
      <c r="AA100" s="177"/>
      <c r="AB100" s="243"/>
      <c r="AC100" s="244"/>
    </row>
    <row r="101" spans="1:29" s="110" customFormat="1" ht="12.75" customHeight="1" x14ac:dyDescent="0.2">
      <c r="A101" s="102">
        <v>38</v>
      </c>
      <c r="B101" s="190" t="s">
        <v>671</v>
      </c>
      <c r="C101" s="236"/>
      <c r="D101" s="159"/>
      <c r="E101" s="237"/>
      <c r="F101" s="238"/>
      <c r="G101" s="245"/>
      <c r="H101" s="202"/>
      <c r="I101" s="202"/>
      <c r="J101" s="183"/>
      <c r="K101" s="148"/>
      <c r="L101" s="230"/>
      <c r="M101" s="230"/>
      <c r="N101" s="231"/>
      <c r="O101" s="148"/>
      <c r="P101" s="230"/>
      <c r="Q101" s="230"/>
      <c r="R101" s="231"/>
      <c r="S101" s="245"/>
      <c r="T101" s="246"/>
      <c r="U101" s="202"/>
      <c r="V101" s="197"/>
      <c r="W101" s="245"/>
      <c r="X101" s="246"/>
      <c r="Y101" s="202"/>
      <c r="Z101" s="197"/>
      <c r="AA101" s="112"/>
      <c r="AB101" s="247"/>
      <c r="AC101" s="239"/>
    </row>
    <row r="102" spans="1:29" s="110" customFormat="1" ht="13.5" customHeight="1" thickBot="1" x14ac:dyDescent="0.25">
      <c r="A102" s="248"/>
      <c r="B102" s="249" t="s">
        <v>622</v>
      </c>
      <c r="C102" s="250" t="s">
        <v>50</v>
      </c>
      <c r="D102" s="251"/>
      <c r="E102" s="252"/>
      <c r="F102" s="253"/>
      <c r="G102" s="254"/>
      <c r="H102" s="255"/>
      <c r="I102" s="255"/>
      <c r="J102" s="256"/>
      <c r="K102" s="257"/>
      <c r="L102" s="252"/>
      <c r="M102" s="252"/>
      <c r="N102" s="258"/>
      <c r="O102" s="257"/>
      <c r="P102" s="252"/>
      <c r="Q102" s="252"/>
      <c r="R102" s="258"/>
      <c r="S102" s="259"/>
      <c r="T102" s="260"/>
      <c r="U102" s="260"/>
      <c r="V102" s="261"/>
      <c r="W102" s="259"/>
      <c r="X102" s="260"/>
      <c r="Y102" s="260"/>
      <c r="Z102" s="261"/>
      <c r="AA102" s="262"/>
      <c r="AB102" s="263"/>
      <c r="AC102" s="264"/>
    </row>
    <row r="103" spans="1:29" s="110" customFormat="1" ht="13.5" thickTop="1" x14ac:dyDescent="0.2">
      <c r="A103" s="102"/>
      <c r="B103" s="104"/>
      <c r="C103" s="104"/>
      <c r="D103" s="104"/>
      <c r="E103" s="105"/>
      <c r="F103" s="105"/>
      <c r="G103" s="105"/>
      <c r="K103" s="105"/>
      <c r="O103" s="105"/>
      <c r="S103" s="105"/>
      <c r="W103" s="105"/>
      <c r="AA103" s="105"/>
    </row>
    <row r="65536" spans="2:1028" s="102" customFormat="1" ht="12.75" customHeight="1" x14ac:dyDescent="0.2">
      <c r="B65536" s="104"/>
      <c r="C65536" s="104"/>
      <c r="D65536" s="104"/>
      <c r="E65536" s="105"/>
      <c r="F65536" s="105"/>
      <c r="G65536" s="105"/>
      <c r="H65536" s="110"/>
      <c r="I65536" s="110"/>
      <c r="J65536" s="110"/>
      <c r="K65536" s="105"/>
      <c r="L65536" s="110"/>
      <c r="M65536" s="110"/>
      <c r="N65536" s="110"/>
      <c r="O65536" s="105"/>
      <c r="P65536" s="110"/>
      <c r="Q65536" s="110"/>
      <c r="R65536" s="110"/>
      <c r="S65536" s="105"/>
      <c r="T65536" s="110"/>
      <c r="U65536" s="110"/>
      <c r="V65536" s="110"/>
      <c r="W65536" s="105"/>
      <c r="X65536" s="110"/>
      <c r="Y65536" s="110"/>
      <c r="Z65536" s="110"/>
      <c r="AA65536" s="105"/>
      <c r="AB65536" s="110"/>
      <c r="AC65536" s="110"/>
      <c r="AD65536" s="110"/>
      <c r="AE65536" s="110"/>
      <c r="AF65536" s="110"/>
      <c r="AG65536" s="110"/>
      <c r="AH65536" s="110"/>
      <c r="AI65536" s="110"/>
      <c r="AJ65536" s="110"/>
      <c r="AK65536" s="110"/>
      <c r="AL65536" s="110"/>
      <c r="AM65536" s="110"/>
      <c r="AN65536" s="110"/>
      <c r="AO65536" s="110"/>
      <c r="AP65536" s="110"/>
      <c r="AQ65536" s="110"/>
      <c r="AR65536" s="110"/>
      <c r="AS65536" s="110"/>
      <c r="AT65536" s="110"/>
      <c r="AU65536" s="110"/>
      <c r="AV65536" s="110"/>
      <c r="AW65536" s="110"/>
      <c r="AX65536" s="110"/>
      <c r="AY65536" s="110"/>
      <c r="AZ65536" s="110"/>
      <c r="BA65536" s="110"/>
      <c r="BB65536" s="110"/>
      <c r="BC65536" s="110"/>
      <c r="BD65536" s="110"/>
      <c r="BE65536" s="110"/>
      <c r="BF65536" s="110"/>
      <c r="BG65536" s="110"/>
      <c r="BH65536" s="110"/>
      <c r="BI65536" s="110"/>
      <c r="BJ65536" s="110"/>
      <c r="BK65536" s="110"/>
      <c r="BL65536" s="110"/>
      <c r="BM65536" s="110"/>
      <c r="BN65536" s="110"/>
      <c r="BO65536" s="110"/>
      <c r="BP65536" s="110"/>
      <c r="BQ65536" s="110"/>
      <c r="BR65536" s="110"/>
      <c r="BS65536" s="110"/>
      <c r="BT65536" s="110"/>
      <c r="BU65536" s="110"/>
      <c r="BV65536" s="110"/>
      <c r="BW65536" s="110"/>
      <c r="BX65536" s="110"/>
      <c r="BY65536" s="110"/>
      <c r="BZ65536" s="110"/>
      <c r="CA65536" s="110"/>
      <c r="CB65536" s="110"/>
      <c r="CC65536" s="110"/>
      <c r="CD65536" s="110"/>
      <c r="CE65536" s="110"/>
      <c r="CF65536" s="110"/>
      <c r="CG65536" s="110"/>
      <c r="CH65536" s="110"/>
      <c r="CI65536" s="110"/>
      <c r="CJ65536" s="110"/>
      <c r="CK65536" s="110"/>
      <c r="CL65536" s="110"/>
      <c r="CM65536" s="110"/>
      <c r="CN65536" s="110"/>
      <c r="CO65536" s="110"/>
      <c r="CP65536" s="110"/>
      <c r="CQ65536" s="110"/>
      <c r="CR65536" s="110"/>
      <c r="CS65536" s="110"/>
      <c r="CT65536" s="110"/>
      <c r="CU65536" s="110"/>
      <c r="CV65536" s="110"/>
      <c r="CW65536" s="110"/>
      <c r="CX65536" s="110"/>
      <c r="CY65536" s="110"/>
      <c r="CZ65536" s="110"/>
      <c r="DA65536" s="110"/>
      <c r="DB65536" s="110"/>
      <c r="DC65536" s="110"/>
      <c r="DD65536" s="110"/>
      <c r="DE65536" s="110"/>
      <c r="DF65536" s="110"/>
      <c r="DG65536" s="110"/>
      <c r="DH65536" s="110"/>
      <c r="DI65536" s="110"/>
      <c r="DJ65536" s="110"/>
      <c r="DK65536" s="110"/>
      <c r="DL65536" s="110"/>
      <c r="DM65536" s="110"/>
      <c r="DN65536" s="110"/>
      <c r="DO65536" s="110"/>
      <c r="DP65536" s="110"/>
      <c r="DQ65536" s="110"/>
      <c r="DR65536" s="110"/>
      <c r="DS65536" s="110"/>
      <c r="DT65536" s="110"/>
      <c r="DU65536" s="110"/>
      <c r="DV65536" s="110"/>
      <c r="DW65536" s="110"/>
      <c r="DX65536" s="110"/>
      <c r="DY65536" s="110"/>
      <c r="DZ65536" s="110"/>
      <c r="EA65536" s="110"/>
      <c r="EB65536" s="110"/>
      <c r="EC65536" s="110"/>
      <c r="ED65536" s="110"/>
      <c r="EE65536" s="110"/>
      <c r="EF65536" s="110"/>
      <c r="EG65536" s="110"/>
      <c r="EH65536" s="110"/>
      <c r="EI65536" s="110"/>
      <c r="EJ65536" s="110"/>
      <c r="EK65536" s="110"/>
      <c r="EL65536" s="110"/>
      <c r="EM65536" s="110"/>
      <c r="EN65536" s="110"/>
      <c r="EO65536" s="110"/>
      <c r="EP65536" s="110"/>
      <c r="EQ65536" s="110"/>
      <c r="ER65536" s="110"/>
      <c r="ES65536" s="110"/>
      <c r="ET65536" s="110"/>
      <c r="EU65536" s="110"/>
      <c r="EV65536" s="110"/>
      <c r="EW65536" s="110"/>
      <c r="EX65536" s="110"/>
      <c r="EY65536" s="110"/>
      <c r="EZ65536" s="110"/>
      <c r="FA65536" s="110"/>
      <c r="FB65536" s="110"/>
      <c r="FC65536" s="110"/>
      <c r="FD65536" s="110"/>
      <c r="FE65536" s="110"/>
      <c r="FF65536" s="110"/>
      <c r="FG65536" s="110"/>
      <c r="FH65536" s="110"/>
      <c r="FI65536" s="110"/>
      <c r="FJ65536" s="110"/>
      <c r="FK65536" s="110"/>
      <c r="FL65536" s="110"/>
      <c r="FM65536" s="110"/>
      <c r="FN65536" s="110"/>
      <c r="FO65536" s="110"/>
      <c r="FP65536" s="110"/>
      <c r="FQ65536" s="110"/>
      <c r="FR65536" s="110"/>
      <c r="FS65536" s="110"/>
      <c r="FT65536" s="110"/>
      <c r="FU65536" s="110"/>
      <c r="FV65536" s="110"/>
      <c r="FW65536" s="110"/>
      <c r="FX65536" s="110"/>
      <c r="FY65536" s="110"/>
      <c r="FZ65536" s="110"/>
      <c r="GA65536" s="110"/>
      <c r="GB65536" s="110"/>
      <c r="GC65536" s="110"/>
      <c r="GD65536" s="110"/>
      <c r="GE65536" s="110"/>
      <c r="GF65536" s="110"/>
      <c r="GG65536" s="110"/>
      <c r="GH65536" s="110"/>
      <c r="GI65536" s="110"/>
      <c r="GJ65536" s="110"/>
      <c r="GK65536" s="110"/>
      <c r="GL65536" s="110"/>
      <c r="GM65536" s="110"/>
      <c r="GN65536" s="110"/>
      <c r="GO65536" s="110"/>
      <c r="GP65536" s="110"/>
      <c r="GQ65536" s="110"/>
      <c r="GR65536" s="110"/>
      <c r="GS65536" s="110"/>
      <c r="GT65536" s="110"/>
      <c r="GU65536" s="110"/>
      <c r="GV65536" s="110"/>
      <c r="GW65536" s="110"/>
      <c r="GX65536" s="110"/>
      <c r="GY65536" s="110"/>
      <c r="GZ65536" s="110"/>
      <c r="HA65536" s="110"/>
      <c r="HB65536" s="110"/>
      <c r="HC65536" s="110"/>
      <c r="HD65536" s="110"/>
      <c r="HE65536" s="110"/>
      <c r="HF65536" s="110"/>
      <c r="HG65536" s="110"/>
      <c r="HH65536" s="110"/>
      <c r="HI65536" s="110"/>
      <c r="HJ65536" s="110"/>
      <c r="HK65536" s="110"/>
      <c r="HL65536" s="110"/>
      <c r="HM65536" s="110"/>
      <c r="HN65536" s="110"/>
      <c r="HO65536" s="110"/>
      <c r="HP65536" s="110"/>
      <c r="HQ65536" s="110"/>
      <c r="HR65536" s="110"/>
      <c r="HS65536" s="110"/>
      <c r="HT65536" s="110"/>
      <c r="HU65536" s="110"/>
      <c r="HV65536" s="110"/>
      <c r="HW65536" s="110"/>
      <c r="HX65536" s="110"/>
      <c r="HY65536" s="110"/>
      <c r="HZ65536" s="110"/>
      <c r="IA65536" s="110"/>
      <c r="IB65536" s="110"/>
      <c r="IC65536" s="110"/>
      <c r="ID65536" s="110"/>
      <c r="IE65536" s="110"/>
      <c r="IF65536" s="110"/>
      <c r="IG65536" s="110"/>
      <c r="IH65536" s="110"/>
      <c r="II65536" s="110"/>
      <c r="IJ65536" s="110"/>
      <c r="IK65536" s="110"/>
      <c r="IL65536" s="110"/>
      <c r="IM65536" s="110"/>
      <c r="IN65536" s="110"/>
      <c r="IO65536" s="110"/>
      <c r="IP65536" s="110"/>
      <c r="IQ65536" s="110"/>
      <c r="IR65536" s="110"/>
      <c r="IS65536" s="110"/>
      <c r="IT65536" s="110"/>
      <c r="IU65536" s="110"/>
      <c r="IV65536" s="110"/>
      <c r="IW65536" s="110"/>
      <c r="IX65536" s="110"/>
      <c r="IY65536" s="110"/>
      <c r="IZ65536" s="110"/>
      <c r="JA65536" s="110"/>
      <c r="JB65536" s="110"/>
      <c r="JC65536" s="110"/>
      <c r="JD65536" s="110"/>
      <c r="JE65536" s="110"/>
      <c r="JF65536" s="110"/>
      <c r="JG65536" s="110"/>
      <c r="JH65536" s="110"/>
      <c r="JI65536" s="110"/>
      <c r="JJ65536" s="110"/>
      <c r="JK65536" s="110"/>
      <c r="JL65536" s="110"/>
      <c r="JM65536" s="110"/>
      <c r="JN65536" s="110"/>
      <c r="JO65536" s="110"/>
      <c r="JP65536" s="110"/>
      <c r="JQ65536" s="110"/>
      <c r="JR65536" s="110"/>
      <c r="JS65536" s="110"/>
      <c r="JT65536" s="110"/>
      <c r="JU65536" s="110"/>
      <c r="JV65536" s="110"/>
      <c r="JW65536" s="110"/>
      <c r="JX65536" s="110"/>
      <c r="JY65536" s="110"/>
      <c r="JZ65536" s="110"/>
      <c r="KA65536" s="110"/>
      <c r="KB65536" s="110"/>
      <c r="KC65536" s="110"/>
      <c r="KD65536" s="110"/>
      <c r="KE65536" s="110"/>
      <c r="KF65536" s="110"/>
      <c r="KG65536" s="110"/>
      <c r="KH65536" s="110"/>
      <c r="KI65536" s="110"/>
      <c r="KJ65536" s="110"/>
      <c r="KK65536" s="110"/>
      <c r="KL65536" s="110"/>
      <c r="KM65536" s="110"/>
      <c r="KN65536" s="110"/>
      <c r="KO65536" s="110"/>
      <c r="KP65536" s="110"/>
      <c r="KQ65536" s="110"/>
      <c r="KR65536" s="110"/>
      <c r="KS65536" s="110"/>
      <c r="KT65536" s="110"/>
      <c r="KU65536" s="110"/>
      <c r="KV65536" s="110"/>
      <c r="KW65536" s="110"/>
      <c r="KX65536" s="110"/>
      <c r="KY65536" s="110"/>
      <c r="KZ65536" s="110"/>
      <c r="LA65536" s="110"/>
      <c r="LB65536" s="110"/>
      <c r="LC65536" s="110"/>
      <c r="LD65536" s="110"/>
      <c r="LE65536" s="110"/>
      <c r="LF65536" s="110"/>
      <c r="LG65536" s="110"/>
      <c r="LH65536" s="110"/>
      <c r="LI65536" s="110"/>
      <c r="LJ65536" s="110"/>
      <c r="LK65536" s="110"/>
      <c r="LL65536" s="110"/>
      <c r="LM65536" s="110"/>
      <c r="LN65536" s="110"/>
      <c r="LO65536" s="110"/>
      <c r="LP65536" s="110"/>
      <c r="LQ65536" s="110"/>
      <c r="LR65536" s="110"/>
      <c r="LS65536" s="110"/>
      <c r="LT65536" s="110"/>
      <c r="LU65536" s="110"/>
      <c r="LV65536" s="110"/>
      <c r="LW65536" s="110"/>
      <c r="LX65536" s="110"/>
      <c r="LY65536" s="110"/>
      <c r="LZ65536" s="110"/>
      <c r="MA65536" s="110"/>
      <c r="MB65536" s="110"/>
      <c r="MC65536" s="110"/>
      <c r="MD65536" s="110"/>
      <c r="ME65536" s="110"/>
      <c r="MF65536" s="110"/>
      <c r="MG65536" s="110"/>
      <c r="MH65536" s="110"/>
      <c r="MI65536" s="110"/>
      <c r="MJ65536" s="110"/>
      <c r="MK65536" s="110"/>
      <c r="ML65536" s="110"/>
      <c r="MM65536" s="110"/>
      <c r="MN65536" s="110"/>
      <c r="MO65536" s="110"/>
      <c r="MP65536" s="110"/>
      <c r="MQ65536" s="110"/>
      <c r="MR65536" s="110"/>
      <c r="MS65536" s="110"/>
      <c r="MT65536" s="110"/>
      <c r="MU65536" s="110"/>
      <c r="MV65536" s="110"/>
      <c r="MW65536" s="110"/>
      <c r="MX65536" s="110"/>
      <c r="MY65536" s="110"/>
      <c r="MZ65536" s="110"/>
      <c r="NA65536" s="110"/>
      <c r="NB65536" s="110"/>
      <c r="NC65536" s="110"/>
      <c r="ND65536" s="110"/>
      <c r="NE65536" s="110"/>
      <c r="NF65536" s="110"/>
      <c r="NG65536" s="110"/>
      <c r="NH65536" s="110"/>
      <c r="NI65536" s="110"/>
      <c r="NJ65536" s="110"/>
      <c r="NK65536" s="110"/>
      <c r="NL65536" s="110"/>
      <c r="NM65536" s="110"/>
      <c r="NN65536" s="110"/>
      <c r="NO65536" s="110"/>
      <c r="NP65536" s="110"/>
      <c r="NQ65536" s="110"/>
      <c r="NR65536" s="110"/>
      <c r="NS65536" s="110"/>
      <c r="NT65536" s="110"/>
      <c r="NU65536" s="110"/>
      <c r="NV65536" s="110"/>
      <c r="NW65536" s="110"/>
      <c r="NX65536" s="110"/>
      <c r="NY65536" s="110"/>
      <c r="NZ65536" s="110"/>
      <c r="OA65536" s="110"/>
      <c r="OB65536" s="110"/>
      <c r="OC65536" s="110"/>
      <c r="OD65536" s="110"/>
      <c r="OE65536" s="110"/>
      <c r="OF65536" s="110"/>
      <c r="OG65536" s="110"/>
      <c r="OH65536" s="110"/>
      <c r="OI65536" s="110"/>
      <c r="OJ65536" s="110"/>
      <c r="OK65536" s="110"/>
      <c r="OL65536" s="110"/>
      <c r="OM65536" s="110"/>
      <c r="ON65536" s="110"/>
      <c r="OO65536" s="110"/>
      <c r="OP65536" s="110"/>
      <c r="OQ65536" s="110"/>
      <c r="OR65536" s="110"/>
      <c r="OS65536" s="110"/>
      <c r="OT65536" s="110"/>
      <c r="OU65536" s="110"/>
      <c r="OV65536" s="110"/>
      <c r="OW65536" s="110"/>
      <c r="OX65536" s="110"/>
      <c r="OY65536" s="110"/>
      <c r="OZ65536" s="110"/>
      <c r="PA65536" s="110"/>
      <c r="PB65536" s="110"/>
      <c r="PC65536" s="110"/>
      <c r="PD65536" s="110"/>
      <c r="PE65536" s="110"/>
      <c r="PF65536" s="110"/>
      <c r="PG65536" s="110"/>
      <c r="PH65536" s="110"/>
      <c r="PI65536" s="110"/>
      <c r="PJ65536" s="110"/>
      <c r="PK65536" s="110"/>
      <c r="PL65536" s="110"/>
      <c r="PM65536" s="110"/>
      <c r="PN65536" s="110"/>
      <c r="PO65536" s="110"/>
      <c r="PP65536" s="110"/>
      <c r="PQ65536" s="110"/>
      <c r="PR65536" s="110"/>
      <c r="PS65536" s="110"/>
      <c r="PT65536" s="110"/>
      <c r="PU65536" s="110"/>
      <c r="PV65536" s="110"/>
      <c r="PW65536" s="110"/>
      <c r="PX65536" s="110"/>
      <c r="PY65536" s="110"/>
      <c r="PZ65536" s="110"/>
      <c r="QA65536" s="110"/>
      <c r="QB65536" s="110"/>
      <c r="QC65536" s="110"/>
      <c r="QD65536" s="110"/>
      <c r="QE65536" s="110"/>
      <c r="QF65536" s="110"/>
      <c r="QG65536" s="110"/>
      <c r="QH65536" s="110"/>
      <c r="QI65536" s="110"/>
      <c r="QJ65536" s="110"/>
      <c r="QK65536" s="110"/>
      <c r="QL65536" s="110"/>
      <c r="QM65536" s="110"/>
      <c r="QN65536" s="110"/>
      <c r="QO65536" s="110"/>
      <c r="QP65536" s="110"/>
      <c r="QQ65536" s="110"/>
      <c r="QR65536" s="110"/>
      <c r="QS65536" s="110"/>
      <c r="QT65536" s="110"/>
      <c r="QU65536" s="110"/>
      <c r="QV65536" s="110"/>
      <c r="QW65536" s="110"/>
      <c r="QX65536" s="110"/>
      <c r="QY65536" s="110"/>
      <c r="QZ65536" s="110"/>
      <c r="RA65536" s="110"/>
      <c r="RB65536" s="110"/>
      <c r="RC65536" s="110"/>
      <c r="RD65536" s="110"/>
      <c r="RE65536" s="110"/>
      <c r="RF65536" s="110"/>
      <c r="RG65536" s="110"/>
      <c r="RH65536" s="110"/>
      <c r="RI65536" s="110"/>
      <c r="RJ65536" s="110"/>
      <c r="RK65536" s="110"/>
      <c r="RL65536" s="110"/>
      <c r="RM65536" s="110"/>
      <c r="RN65536" s="110"/>
      <c r="RO65536" s="110"/>
      <c r="RP65536" s="110"/>
      <c r="RQ65536" s="110"/>
      <c r="RR65536" s="110"/>
      <c r="RS65536" s="110"/>
      <c r="RT65536" s="110"/>
      <c r="RU65536" s="110"/>
      <c r="RV65536" s="110"/>
      <c r="RW65536" s="110"/>
      <c r="RX65536" s="110"/>
      <c r="RY65536" s="110"/>
      <c r="RZ65536" s="110"/>
      <c r="SA65536" s="110"/>
      <c r="SB65536" s="110"/>
      <c r="SC65536" s="110"/>
      <c r="SD65536" s="110"/>
      <c r="SE65536" s="110"/>
      <c r="SF65536" s="110"/>
      <c r="SG65536" s="110"/>
      <c r="SH65536" s="110"/>
      <c r="SI65536" s="110"/>
      <c r="SJ65536" s="110"/>
      <c r="SK65536" s="110"/>
      <c r="SL65536" s="110"/>
      <c r="SM65536" s="110"/>
      <c r="SN65536" s="110"/>
      <c r="SO65536" s="110"/>
      <c r="SP65536" s="110"/>
      <c r="SQ65536" s="110"/>
      <c r="SR65536" s="110"/>
      <c r="SS65536" s="110"/>
      <c r="ST65536" s="110"/>
      <c r="SU65536" s="110"/>
      <c r="SV65536" s="110"/>
      <c r="SW65536" s="110"/>
      <c r="SX65536" s="110"/>
      <c r="SY65536" s="110"/>
      <c r="SZ65536" s="110"/>
      <c r="TA65536" s="110"/>
      <c r="TB65536" s="110"/>
      <c r="TC65536" s="110"/>
      <c r="TD65536" s="110"/>
      <c r="TE65536" s="110"/>
      <c r="TF65536" s="110"/>
      <c r="TG65536" s="110"/>
      <c r="TH65536" s="110"/>
      <c r="TI65536" s="110"/>
      <c r="TJ65536" s="110"/>
      <c r="TK65536" s="110"/>
      <c r="TL65536" s="110"/>
      <c r="TM65536" s="110"/>
      <c r="TN65536" s="110"/>
      <c r="TO65536" s="110"/>
      <c r="TP65536" s="110"/>
      <c r="TQ65536" s="110"/>
      <c r="TR65536" s="110"/>
      <c r="TS65536" s="110"/>
      <c r="TT65536" s="110"/>
      <c r="TU65536" s="110"/>
      <c r="TV65536" s="110"/>
      <c r="TW65536" s="110"/>
      <c r="TX65536" s="110"/>
      <c r="TY65536" s="110"/>
      <c r="TZ65536" s="110"/>
      <c r="UA65536" s="110"/>
      <c r="UB65536" s="110"/>
      <c r="UC65536" s="110"/>
      <c r="UD65536" s="110"/>
      <c r="UE65536" s="110"/>
      <c r="UF65536" s="110"/>
      <c r="UG65536" s="110"/>
      <c r="UH65536" s="110"/>
      <c r="UI65536" s="110"/>
      <c r="UJ65536" s="110"/>
      <c r="UK65536" s="110"/>
      <c r="UL65536" s="110"/>
      <c r="UM65536" s="110"/>
      <c r="UN65536" s="110"/>
      <c r="UO65536" s="110"/>
      <c r="UP65536" s="110"/>
      <c r="UQ65536" s="110"/>
      <c r="UR65536" s="110"/>
      <c r="US65536" s="110"/>
      <c r="UT65536" s="110"/>
      <c r="UU65536" s="110"/>
      <c r="UV65536" s="110"/>
      <c r="UW65536" s="110"/>
      <c r="UX65536" s="110"/>
      <c r="UY65536" s="110"/>
      <c r="UZ65536" s="110"/>
      <c r="VA65536" s="110"/>
      <c r="VB65536" s="110"/>
      <c r="VC65536" s="110"/>
      <c r="VD65536" s="110"/>
      <c r="VE65536" s="110"/>
      <c r="VF65536" s="110"/>
      <c r="VG65536" s="110"/>
      <c r="VH65536" s="110"/>
      <c r="VI65536" s="110"/>
      <c r="VJ65536" s="110"/>
      <c r="VK65536" s="110"/>
      <c r="VL65536" s="110"/>
      <c r="VM65536" s="110"/>
      <c r="VN65536" s="110"/>
      <c r="VO65536" s="110"/>
      <c r="VP65536" s="110"/>
      <c r="VQ65536" s="110"/>
      <c r="VR65536" s="110"/>
      <c r="VS65536" s="110"/>
      <c r="VT65536" s="110"/>
      <c r="VU65536" s="110"/>
      <c r="VV65536" s="110"/>
      <c r="VW65536" s="110"/>
      <c r="VX65536" s="110"/>
      <c r="VY65536" s="110"/>
      <c r="VZ65536" s="110"/>
      <c r="WA65536" s="110"/>
      <c r="WB65536" s="110"/>
      <c r="WC65536" s="110"/>
      <c r="WD65536" s="110"/>
      <c r="WE65536" s="110"/>
      <c r="WF65536" s="110"/>
      <c r="WG65536" s="110"/>
      <c r="WH65536" s="110"/>
      <c r="WI65536" s="110"/>
      <c r="WJ65536" s="110"/>
      <c r="WK65536" s="110"/>
      <c r="WL65536" s="110"/>
      <c r="WM65536" s="110"/>
      <c r="WN65536" s="110"/>
      <c r="WO65536" s="110"/>
      <c r="WP65536" s="110"/>
      <c r="WQ65536" s="110"/>
      <c r="WR65536" s="110"/>
      <c r="WS65536" s="110"/>
      <c r="WT65536" s="110"/>
      <c r="WU65536" s="110"/>
      <c r="WV65536" s="110"/>
      <c r="WW65536" s="110"/>
      <c r="WX65536" s="110"/>
      <c r="WY65536" s="110"/>
      <c r="WZ65536" s="110"/>
      <c r="XA65536" s="110"/>
      <c r="XB65536" s="110"/>
      <c r="XC65536" s="110"/>
      <c r="XD65536" s="110"/>
      <c r="XE65536" s="110"/>
      <c r="XF65536" s="110"/>
      <c r="XG65536" s="110"/>
      <c r="XH65536" s="110"/>
      <c r="XI65536" s="110"/>
      <c r="XJ65536" s="110"/>
      <c r="XK65536" s="110"/>
      <c r="XL65536" s="110"/>
      <c r="XM65536" s="110"/>
      <c r="XN65536" s="110"/>
      <c r="XO65536" s="110"/>
      <c r="XP65536" s="110"/>
      <c r="XQ65536" s="110"/>
      <c r="XR65536" s="110"/>
      <c r="XS65536" s="110"/>
      <c r="XT65536" s="110"/>
      <c r="XU65536" s="110"/>
      <c r="XV65536" s="110"/>
      <c r="XW65536" s="110"/>
      <c r="XX65536" s="110"/>
      <c r="XY65536" s="110"/>
      <c r="XZ65536" s="110"/>
      <c r="YA65536" s="110"/>
      <c r="YB65536" s="110"/>
      <c r="YC65536" s="110"/>
      <c r="YD65536" s="110"/>
      <c r="YE65536" s="110"/>
      <c r="YF65536" s="110"/>
      <c r="YG65536" s="110"/>
      <c r="YH65536" s="110"/>
      <c r="YI65536" s="110"/>
      <c r="YJ65536" s="110"/>
      <c r="YK65536" s="110"/>
      <c r="YL65536" s="110"/>
      <c r="YM65536" s="110"/>
      <c r="YN65536" s="110"/>
      <c r="YO65536" s="110"/>
      <c r="YP65536" s="110"/>
      <c r="YQ65536" s="110"/>
      <c r="YR65536" s="110"/>
      <c r="YS65536" s="110"/>
      <c r="YT65536" s="110"/>
      <c r="YU65536" s="110"/>
      <c r="YV65536" s="110"/>
      <c r="YW65536" s="110"/>
      <c r="YX65536" s="110"/>
      <c r="YY65536" s="110"/>
      <c r="YZ65536" s="110"/>
      <c r="ZA65536" s="110"/>
      <c r="ZB65536" s="110"/>
      <c r="ZC65536" s="110"/>
      <c r="ZD65536" s="110"/>
      <c r="ZE65536" s="110"/>
      <c r="ZF65536" s="110"/>
      <c r="ZG65536" s="110"/>
      <c r="ZH65536" s="110"/>
      <c r="ZI65536" s="110"/>
      <c r="ZJ65536" s="110"/>
      <c r="ZK65536" s="110"/>
      <c r="ZL65536" s="110"/>
      <c r="ZM65536" s="110"/>
      <c r="ZN65536" s="110"/>
      <c r="ZO65536" s="110"/>
      <c r="ZP65536" s="110"/>
      <c r="ZQ65536" s="110"/>
      <c r="ZR65536" s="110"/>
      <c r="ZS65536" s="110"/>
      <c r="ZT65536" s="110"/>
      <c r="ZU65536" s="110"/>
      <c r="ZV65536" s="110"/>
      <c r="ZW65536" s="110"/>
      <c r="ZX65536" s="110"/>
      <c r="ZY65536" s="110"/>
      <c r="ZZ65536" s="110"/>
      <c r="AAA65536" s="110"/>
      <c r="AAB65536" s="110"/>
      <c r="AAC65536" s="110"/>
      <c r="AAD65536" s="110"/>
      <c r="AAE65536" s="110"/>
      <c r="AAF65536" s="110"/>
      <c r="AAG65536" s="110"/>
      <c r="AAH65536" s="110"/>
      <c r="AAI65536" s="110"/>
      <c r="AAJ65536" s="110"/>
      <c r="AAK65536" s="110"/>
      <c r="AAL65536" s="110"/>
      <c r="AAM65536" s="110"/>
      <c r="AAN65536" s="110"/>
      <c r="AAO65536" s="110"/>
      <c r="AAP65536" s="110"/>
      <c r="AAQ65536" s="110"/>
      <c r="AAR65536" s="110"/>
      <c r="AAS65536" s="110"/>
      <c r="AAT65536" s="110"/>
      <c r="AAU65536" s="110"/>
      <c r="AAV65536" s="110"/>
      <c r="AAW65536" s="110"/>
      <c r="AAX65536" s="110"/>
      <c r="AAY65536" s="110"/>
      <c r="AAZ65536" s="110"/>
      <c r="ABA65536" s="110"/>
      <c r="ABB65536" s="110"/>
      <c r="ABC65536" s="110"/>
      <c r="ABD65536" s="110"/>
      <c r="ABE65536" s="110"/>
      <c r="ABF65536" s="110"/>
      <c r="ABG65536" s="110"/>
      <c r="ABH65536" s="110"/>
      <c r="ABI65536" s="110"/>
      <c r="ABJ65536" s="110"/>
      <c r="ABK65536" s="110"/>
      <c r="ABL65536" s="110"/>
      <c r="ABM65536" s="110"/>
      <c r="ABN65536" s="110"/>
      <c r="ABO65536" s="110"/>
      <c r="ABP65536" s="110"/>
      <c r="ABQ65536" s="110"/>
      <c r="ABR65536" s="110"/>
      <c r="ABS65536" s="110"/>
      <c r="ABT65536" s="110"/>
      <c r="ABU65536" s="110"/>
      <c r="ABV65536" s="110"/>
      <c r="ABW65536" s="110"/>
      <c r="ABX65536" s="110"/>
      <c r="ABY65536" s="110"/>
      <c r="ABZ65536" s="110"/>
      <c r="ACA65536" s="110"/>
      <c r="ACB65536" s="110"/>
      <c r="ACC65536" s="110"/>
      <c r="ACD65536" s="110"/>
      <c r="ACE65536" s="110"/>
      <c r="ACF65536" s="110"/>
      <c r="ACG65536" s="110"/>
      <c r="ACH65536" s="110"/>
      <c r="ACI65536" s="110"/>
      <c r="ACJ65536" s="110"/>
      <c r="ACK65536" s="110"/>
      <c r="ACL65536" s="110"/>
      <c r="ACM65536" s="110"/>
      <c r="ACN65536" s="110"/>
      <c r="ACO65536" s="110"/>
      <c r="ACP65536" s="110"/>
      <c r="ACQ65536" s="110"/>
      <c r="ACR65536" s="110"/>
      <c r="ACS65536" s="110"/>
      <c r="ACT65536" s="110"/>
      <c r="ACU65536" s="110"/>
      <c r="ACV65536" s="110"/>
      <c r="ACW65536" s="110"/>
      <c r="ACX65536" s="110"/>
      <c r="ACY65536" s="110"/>
      <c r="ACZ65536" s="110"/>
      <c r="ADA65536" s="110"/>
      <c r="ADB65536" s="110"/>
      <c r="ADC65536" s="110"/>
      <c r="ADD65536" s="110"/>
      <c r="ADE65536" s="110"/>
      <c r="ADF65536" s="110"/>
      <c r="ADG65536" s="110"/>
      <c r="ADH65536" s="110"/>
      <c r="ADI65536" s="110"/>
      <c r="ADJ65536" s="110"/>
      <c r="ADK65536" s="110"/>
      <c r="ADL65536" s="110"/>
      <c r="ADM65536" s="110"/>
      <c r="ADN65536" s="110"/>
      <c r="ADO65536" s="110"/>
      <c r="ADP65536" s="110"/>
      <c r="ADQ65536" s="110"/>
      <c r="ADR65536" s="110"/>
      <c r="ADS65536" s="110"/>
      <c r="ADT65536" s="110"/>
      <c r="ADU65536" s="110"/>
      <c r="ADV65536" s="110"/>
      <c r="ADW65536" s="110"/>
      <c r="ADX65536" s="110"/>
      <c r="ADY65536" s="110"/>
      <c r="ADZ65536" s="110"/>
      <c r="AEA65536" s="110"/>
      <c r="AEB65536" s="110"/>
      <c r="AEC65536" s="110"/>
      <c r="AED65536" s="110"/>
      <c r="AEE65536" s="110"/>
      <c r="AEF65536" s="110"/>
      <c r="AEG65536" s="110"/>
      <c r="AEH65536" s="110"/>
      <c r="AEI65536" s="110"/>
      <c r="AEJ65536" s="110"/>
      <c r="AEK65536" s="110"/>
      <c r="AEL65536" s="110"/>
      <c r="AEM65536" s="110"/>
      <c r="AEN65536" s="110"/>
      <c r="AEO65536" s="110"/>
      <c r="AEP65536" s="110"/>
      <c r="AEQ65536" s="110"/>
      <c r="AER65536" s="110"/>
      <c r="AES65536" s="110"/>
      <c r="AET65536" s="110"/>
      <c r="AEU65536" s="110"/>
      <c r="AEV65536" s="110"/>
      <c r="AEW65536" s="110"/>
      <c r="AEX65536" s="110"/>
      <c r="AEY65536" s="110"/>
      <c r="AEZ65536" s="110"/>
      <c r="AFA65536" s="110"/>
      <c r="AFB65536" s="110"/>
      <c r="AFC65536" s="110"/>
      <c r="AFD65536" s="110"/>
      <c r="AFE65536" s="110"/>
      <c r="AFF65536" s="110"/>
      <c r="AFG65536" s="110"/>
      <c r="AFH65536" s="110"/>
      <c r="AFI65536" s="110"/>
      <c r="AFJ65536" s="110"/>
      <c r="AFK65536" s="110"/>
      <c r="AFL65536" s="110"/>
      <c r="AFM65536" s="110"/>
      <c r="AFN65536" s="110"/>
      <c r="AFO65536" s="110"/>
      <c r="AFP65536" s="110"/>
      <c r="AFQ65536" s="110"/>
      <c r="AFR65536" s="110"/>
      <c r="AFS65536" s="110"/>
      <c r="AFT65536" s="110"/>
      <c r="AFU65536" s="110"/>
      <c r="AFV65536" s="110"/>
      <c r="AFW65536" s="110"/>
      <c r="AFX65536" s="110"/>
      <c r="AFY65536" s="110"/>
      <c r="AFZ65536" s="110"/>
      <c r="AGA65536" s="110"/>
      <c r="AGB65536" s="110"/>
      <c r="AGC65536" s="110"/>
      <c r="AGD65536" s="110"/>
      <c r="AGE65536" s="110"/>
      <c r="AGF65536" s="110"/>
      <c r="AGG65536" s="110"/>
      <c r="AGH65536" s="110"/>
      <c r="AGI65536" s="110"/>
      <c r="AGJ65536" s="110"/>
      <c r="AGK65536" s="110"/>
      <c r="AGL65536" s="110"/>
      <c r="AGM65536" s="110"/>
      <c r="AGN65536" s="110"/>
      <c r="AGO65536" s="110"/>
      <c r="AGP65536" s="110"/>
      <c r="AGQ65536" s="110"/>
      <c r="AGR65536" s="110"/>
      <c r="AGS65536" s="110"/>
      <c r="AGT65536" s="110"/>
      <c r="AGU65536" s="110"/>
      <c r="AGV65536" s="110"/>
      <c r="AGW65536" s="110"/>
      <c r="AGX65536" s="110"/>
      <c r="AGY65536" s="110"/>
      <c r="AGZ65536" s="110"/>
      <c r="AHA65536" s="110"/>
      <c r="AHB65536" s="110"/>
      <c r="AHC65536" s="110"/>
      <c r="AHD65536" s="110"/>
      <c r="AHE65536" s="110"/>
      <c r="AHF65536" s="110"/>
      <c r="AHG65536" s="110"/>
      <c r="AHH65536" s="110"/>
      <c r="AHI65536" s="110"/>
      <c r="AHJ65536" s="110"/>
      <c r="AHK65536" s="110"/>
      <c r="AHL65536" s="110"/>
      <c r="AHM65536" s="110"/>
      <c r="AHN65536" s="110"/>
      <c r="AHO65536" s="110"/>
      <c r="AHP65536" s="110"/>
      <c r="AHQ65536" s="110"/>
      <c r="AHR65536" s="110"/>
      <c r="AHS65536" s="110"/>
      <c r="AHT65536" s="110"/>
      <c r="AHU65536" s="110"/>
      <c r="AHV65536" s="110"/>
      <c r="AHW65536" s="110"/>
      <c r="AHX65536" s="110"/>
      <c r="AHY65536" s="110"/>
      <c r="AHZ65536" s="110"/>
      <c r="AIA65536" s="110"/>
      <c r="AIB65536" s="110"/>
      <c r="AIC65536" s="110"/>
      <c r="AID65536" s="110"/>
      <c r="AIE65536" s="110"/>
      <c r="AIF65536" s="110"/>
      <c r="AIG65536" s="110"/>
      <c r="AIH65536" s="110"/>
      <c r="AII65536" s="110"/>
      <c r="AIJ65536" s="110"/>
      <c r="AIK65536" s="110"/>
      <c r="AIL65536" s="110"/>
      <c r="AIM65536" s="110"/>
      <c r="AIN65536" s="110"/>
      <c r="AIO65536" s="110"/>
      <c r="AIP65536" s="110"/>
      <c r="AIQ65536" s="110"/>
      <c r="AIR65536" s="110"/>
      <c r="AIS65536" s="110"/>
      <c r="AIT65536" s="110"/>
      <c r="AIU65536" s="110"/>
      <c r="AIV65536" s="110"/>
      <c r="AIW65536" s="110"/>
      <c r="AIX65536" s="110"/>
      <c r="AIY65536" s="110"/>
      <c r="AIZ65536" s="110"/>
      <c r="AJA65536" s="110"/>
      <c r="AJB65536" s="110"/>
      <c r="AJC65536" s="110"/>
      <c r="AJD65536" s="110"/>
      <c r="AJE65536" s="110"/>
      <c r="AJF65536" s="110"/>
      <c r="AJG65536" s="110"/>
      <c r="AJH65536" s="110"/>
      <c r="AJI65536" s="110"/>
      <c r="AJJ65536" s="110"/>
      <c r="AJK65536" s="110"/>
      <c r="AJL65536" s="110"/>
      <c r="AJM65536" s="110"/>
      <c r="AJN65536" s="110"/>
      <c r="AJO65536" s="110"/>
      <c r="AJP65536" s="110"/>
      <c r="AJQ65536" s="110"/>
      <c r="AJR65536" s="110"/>
      <c r="AJS65536" s="110"/>
      <c r="AJT65536" s="110"/>
      <c r="AJU65536" s="110"/>
      <c r="AJV65536" s="110"/>
      <c r="AJW65536" s="110"/>
      <c r="AJX65536" s="110"/>
      <c r="AJY65536" s="110"/>
      <c r="AJZ65536" s="110"/>
      <c r="AKA65536" s="110"/>
      <c r="AKB65536" s="110"/>
      <c r="AKC65536" s="110"/>
      <c r="AKD65536" s="110"/>
      <c r="AKE65536" s="110"/>
      <c r="AKF65536" s="110"/>
      <c r="AKG65536" s="110"/>
      <c r="AKH65536" s="110"/>
      <c r="AKI65536" s="110"/>
      <c r="AKJ65536" s="110"/>
      <c r="AKK65536" s="110"/>
      <c r="AKL65536" s="110"/>
      <c r="AKM65536" s="110"/>
      <c r="AKN65536" s="110"/>
      <c r="AKO65536" s="110"/>
      <c r="AKP65536" s="110"/>
      <c r="AKQ65536" s="110"/>
      <c r="AKR65536" s="110"/>
      <c r="AKS65536" s="110"/>
      <c r="AKT65536" s="110"/>
      <c r="AKU65536" s="110"/>
      <c r="AKV65536" s="110"/>
      <c r="AKW65536" s="110"/>
      <c r="AKX65536" s="110"/>
      <c r="AKY65536" s="110"/>
      <c r="AKZ65536" s="110"/>
      <c r="ALA65536" s="110"/>
      <c r="ALB65536" s="110"/>
      <c r="ALC65536" s="110"/>
      <c r="ALD65536" s="110"/>
      <c r="ALE65536" s="110"/>
      <c r="ALF65536" s="110"/>
      <c r="ALG65536" s="110"/>
      <c r="ALH65536" s="110"/>
      <c r="ALI65536" s="110"/>
      <c r="ALJ65536" s="110"/>
      <c r="ALK65536" s="110"/>
      <c r="ALL65536" s="110"/>
      <c r="ALM65536" s="110"/>
      <c r="ALN65536" s="110"/>
      <c r="ALO65536" s="110"/>
      <c r="ALP65536" s="110"/>
      <c r="ALQ65536" s="110"/>
      <c r="ALR65536" s="110"/>
      <c r="ALS65536" s="110"/>
      <c r="ALT65536" s="110"/>
      <c r="ALU65536" s="110"/>
      <c r="ALV65536" s="110"/>
      <c r="ALW65536" s="110"/>
      <c r="ALX65536" s="110"/>
      <c r="ALY65536" s="110"/>
      <c r="ALZ65536" s="110"/>
      <c r="AMA65536" s="110"/>
      <c r="AMB65536" s="110"/>
      <c r="AMC65536" s="110"/>
      <c r="AMD65536" s="110"/>
      <c r="AME65536" s="110"/>
      <c r="AMF65536" s="110"/>
      <c r="AMG65536" s="110"/>
      <c r="AMH65536" s="110"/>
      <c r="AMI65536" s="110"/>
      <c r="AMJ65536" s="110"/>
      <c r="AMK65536" s="110"/>
      <c r="AML65536" s="110"/>
      <c r="AMM65536" s="110"/>
      <c r="AMN65536" s="110"/>
    </row>
  </sheetData>
  <mergeCells count="60">
    <mergeCell ref="AA84:AB84"/>
    <mergeCell ref="C91:C92"/>
    <mergeCell ref="C93:C94"/>
    <mergeCell ref="C95:C96"/>
    <mergeCell ref="C97:C98"/>
    <mergeCell ref="O84:P84"/>
    <mergeCell ref="Q84:R84"/>
    <mergeCell ref="S84:T84"/>
    <mergeCell ref="U84:V84"/>
    <mergeCell ref="W84:X84"/>
    <mergeCell ref="Y84:Z84"/>
    <mergeCell ref="L48:N48"/>
    <mergeCell ref="L78:N78"/>
    <mergeCell ref="L80:N80"/>
    <mergeCell ref="G84:H84"/>
    <mergeCell ref="I84:J84"/>
    <mergeCell ref="K84:L84"/>
    <mergeCell ref="M84:N84"/>
    <mergeCell ref="L44:N44"/>
    <mergeCell ref="U36:V36"/>
    <mergeCell ref="W36:X36"/>
    <mergeCell ref="Y36:Z36"/>
    <mergeCell ref="AA36:AB36"/>
    <mergeCell ref="Q40:R40"/>
    <mergeCell ref="S40:T40"/>
    <mergeCell ref="U40:V40"/>
    <mergeCell ref="W40:X40"/>
    <mergeCell ref="Y40:Z40"/>
    <mergeCell ref="AA40:AB40"/>
    <mergeCell ref="Q36:R36"/>
    <mergeCell ref="S36:T36"/>
    <mergeCell ref="G40:H40"/>
    <mergeCell ref="I40:J40"/>
    <mergeCell ref="K40:L40"/>
    <mergeCell ref="M40:N40"/>
    <mergeCell ref="O40:P40"/>
    <mergeCell ref="G36:H36"/>
    <mergeCell ref="I36:J36"/>
    <mergeCell ref="K36:L36"/>
    <mergeCell ref="M36:N36"/>
    <mergeCell ref="O36:P36"/>
    <mergeCell ref="W7:Z7"/>
    <mergeCell ref="AA7:AC7"/>
    <mergeCell ref="G10:H10"/>
    <mergeCell ref="I10:J10"/>
    <mergeCell ref="K10:L10"/>
    <mergeCell ref="M10:N10"/>
    <mergeCell ref="O10:P10"/>
    <mergeCell ref="Q10:R10"/>
    <mergeCell ref="S10:T10"/>
    <mergeCell ref="U10:V10"/>
    <mergeCell ref="S7:V7"/>
    <mergeCell ref="W10:X10"/>
    <mergeCell ref="Y10:Z10"/>
    <mergeCell ref="AA10:AB10"/>
    <mergeCell ref="L1:Q1"/>
    <mergeCell ref="D7:F7"/>
    <mergeCell ref="G7:J7"/>
    <mergeCell ref="K7:N7"/>
    <mergeCell ref="O7:R7"/>
  </mergeCells>
  <pageMargins left="0" right="0" top="0" bottom="0" header="0.51180555555555496" footer="0.51180555555555496"/>
  <pageSetup scale="44" firstPageNumber="0" orientation="portrait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22" sqref="D22"/>
    </sheetView>
  </sheetViews>
  <sheetFormatPr defaultColWidth="8.85546875" defaultRowHeight="12.75" x14ac:dyDescent="0.2"/>
  <cols>
    <col min="1" max="1" width="8.85546875" style="303"/>
    <col min="2" max="2" width="19.7109375" style="303" bestFit="1" customWidth="1"/>
    <col min="3" max="16384" width="8.85546875" style="303"/>
  </cols>
  <sheetData>
    <row r="1" spans="1:2" ht="15" x14ac:dyDescent="0.2">
      <c r="A1" s="301">
        <v>1</v>
      </c>
      <c r="B1" s="302"/>
    </row>
    <row r="2" spans="1:2" ht="15" x14ac:dyDescent="0.2">
      <c r="A2" s="301">
        <v>0</v>
      </c>
      <c r="B2" s="302"/>
    </row>
    <row r="3" spans="1:2" ht="15" x14ac:dyDescent="0.2">
      <c r="A3" s="301">
        <v>-1</v>
      </c>
      <c r="B3" s="30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B2" sqref="B2:C2"/>
    </sheetView>
  </sheetViews>
  <sheetFormatPr defaultColWidth="8.85546875" defaultRowHeight="12.75" x14ac:dyDescent="0.2"/>
  <cols>
    <col min="1" max="1" width="21.28515625" style="2" customWidth="1"/>
    <col min="2" max="2" width="24.85546875" style="2" customWidth="1"/>
    <col min="3" max="3" width="122.7109375" style="2" bestFit="1" customWidth="1"/>
    <col min="4" max="16384" width="8.85546875" style="2"/>
  </cols>
  <sheetData>
    <row r="1" spans="1:3" ht="27" customHeight="1" x14ac:dyDescent="0.2">
      <c r="A1" s="52" t="s">
        <v>378</v>
      </c>
      <c r="B1" s="314" t="s">
        <v>382</v>
      </c>
      <c r="C1" s="314"/>
    </row>
    <row r="2" spans="1:3" ht="43.15" customHeight="1" x14ac:dyDescent="0.2">
      <c r="A2" s="52" t="s">
        <v>379</v>
      </c>
      <c r="B2" s="314" t="s">
        <v>388</v>
      </c>
      <c r="C2" s="314"/>
    </row>
    <row r="3" spans="1:3" x14ac:dyDescent="0.2">
      <c r="A3" s="52" t="s">
        <v>380</v>
      </c>
      <c r="B3" s="314" t="s">
        <v>716</v>
      </c>
      <c r="C3" s="314"/>
    </row>
    <row r="5" spans="1:3" x14ac:dyDescent="0.2">
      <c r="A5" s="265" t="s">
        <v>345</v>
      </c>
      <c r="B5" s="342" t="s">
        <v>377</v>
      </c>
      <c r="C5" s="342"/>
    </row>
    <row r="6" spans="1:3" x14ac:dyDescent="0.2">
      <c r="A6" s="266" t="s">
        <v>365</v>
      </c>
      <c r="B6" s="340" t="s">
        <v>367</v>
      </c>
      <c r="C6" s="341"/>
    </row>
    <row r="7" spans="1:3" x14ac:dyDescent="0.2">
      <c r="A7" s="266" t="s">
        <v>21</v>
      </c>
      <c r="B7" s="340" t="s">
        <v>368</v>
      </c>
      <c r="C7" s="341"/>
    </row>
    <row r="8" spans="1:3" x14ac:dyDescent="0.2">
      <c r="A8" s="266" t="s">
        <v>15</v>
      </c>
      <c r="B8" s="340" t="s">
        <v>369</v>
      </c>
      <c r="C8" s="341"/>
    </row>
    <row r="9" spans="1:3" x14ac:dyDescent="0.2">
      <c r="A9" s="266" t="s">
        <v>347</v>
      </c>
      <c r="B9" s="340" t="s">
        <v>371</v>
      </c>
      <c r="C9" s="341"/>
    </row>
    <row r="10" spans="1:3" x14ac:dyDescent="0.2">
      <c r="A10" s="266" t="s">
        <v>348</v>
      </c>
      <c r="B10" s="340" t="s">
        <v>372</v>
      </c>
      <c r="C10" s="341"/>
    </row>
    <row r="11" spans="1:3" x14ac:dyDescent="0.2">
      <c r="A11" s="266" t="s">
        <v>349</v>
      </c>
      <c r="B11" s="340" t="s">
        <v>383</v>
      </c>
      <c r="C11" s="341"/>
    </row>
    <row r="12" spans="1:3" x14ac:dyDescent="0.2">
      <c r="A12" s="266" t="s">
        <v>346</v>
      </c>
      <c r="B12" s="340" t="s">
        <v>370</v>
      </c>
      <c r="C12" s="341"/>
    </row>
    <row r="13" spans="1:3" x14ac:dyDescent="0.2">
      <c r="A13" s="266" t="s">
        <v>395</v>
      </c>
      <c r="B13" s="340" t="s">
        <v>429</v>
      </c>
      <c r="C13" s="341"/>
    </row>
    <row r="14" spans="1:3" x14ac:dyDescent="0.2">
      <c r="A14" s="266" t="s">
        <v>427</v>
      </c>
      <c r="B14" s="340" t="s">
        <v>430</v>
      </c>
      <c r="C14" s="341"/>
    </row>
    <row r="15" spans="1:3" x14ac:dyDescent="0.2">
      <c r="A15" s="266" t="s">
        <v>428</v>
      </c>
      <c r="B15" s="340" t="s">
        <v>431</v>
      </c>
      <c r="C15" s="341"/>
    </row>
    <row r="16" spans="1:3" x14ac:dyDescent="0.2">
      <c r="A16" s="266" t="s">
        <v>673</v>
      </c>
      <c r="B16" s="340" t="s">
        <v>675</v>
      </c>
      <c r="C16" s="341"/>
    </row>
    <row r="17" spans="1:3" x14ac:dyDescent="0.2">
      <c r="A17" s="266" t="s">
        <v>674</v>
      </c>
      <c r="B17" s="340" t="s">
        <v>676</v>
      </c>
      <c r="C17" s="341"/>
    </row>
    <row r="18" spans="1:3" x14ac:dyDescent="0.2">
      <c r="A18" s="266" t="s">
        <v>709</v>
      </c>
      <c r="B18" s="340" t="s">
        <v>708</v>
      </c>
      <c r="C18" s="341"/>
    </row>
    <row r="19" spans="1:3" x14ac:dyDescent="0.2">
      <c r="A19" s="266" t="s">
        <v>366</v>
      </c>
      <c r="B19" s="340" t="s">
        <v>373</v>
      </c>
      <c r="C19" s="341"/>
    </row>
    <row r="20" spans="1:3" x14ac:dyDescent="0.2">
      <c r="A20" s="266" t="s">
        <v>350</v>
      </c>
      <c r="B20" s="340" t="s">
        <v>374</v>
      </c>
      <c r="C20" s="341"/>
    </row>
    <row r="21" spans="1:3" x14ac:dyDescent="0.2">
      <c r="A21" s="266" t="s">
        <v>351</v>
      </c>
      <c r="B21" s="340" t="s">
        <v>375</v>
      </c>
      <c r="C21" s="341"/>
    </row>
    <row r="22" spans="1:3" x14ac:dyDescent="0.2">
      <c r="A22" s="266" t="s">
        <v>352</v>
      </c>
      <c r="B22" s="340" t="s">
        <v>376</v>
      </c>
      <c r="C22" s="341"/>
    </row>
  </sheetData>
  <mergeCells count="21">
    <mergeCell ref="B19:C19"/>
    <mergeCell ref="B20:C20"/>
    <mergeCell ref="B21:C21"/>
    <mergeCell ref="B22:C22"/>
    <mergeCell ref="B16:C16"/>
    <mergeCell ref="B17:C17"/>
    <mergeCell ref="B18:C18"/>
    <mergeCell ref="B12:C12"/>
    <mergeCell ref="B13:C13"/>
    <mergeCell ref="B14:C14"/>
    <mergeCell ref="B15:C15"/>
    <mergeCell ref="B1:C1"/>
    <mergeCell ref="B2:C2"/>
    <mergeCell ref="B3:C3"/>
    <mergeCell ref="B5:C5"/>
    <mergeCell ref="B6:C6"/>
    <mergeCell ref="B7:C7"/>
    <mergeCell ref="B8:C8"/>
    <mergeCell ref="B9:C9"/>
    <mergeCell ref="B10:C10"/>
    <mergeCell ref="B11:C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Y1000"/>
  <sheetViews>
    <sheetView workbookViewId="0">
      <selection sqref="A1:XFD1"/>
    </sheetView>
  </sheetViews>
  <sheetFormatPr defaultColWidth="14.42578125" defaultRowHeight="15.75" customHeight="1" x14ac:dyDescent="0.2"/>
  <cols>
    <col min="1" max="1" width="8.42578125" style="2" bestFit="1" customWidth="1"/>
    <col min="2" max="2" width="12.7109375" style="2" bestFit="1" customWidth="1"/>
    <col min="3" max="3" width="20" style="2" bestFit="1" customWidth="1"/>
    <col min="4" max="4" width="18.28515625" style="2" bestFit="1" customWidth="1"/>
    <col min="5" max="5" width="9.28515625" style="2" bestFit="1" customWidth="1"/>
    <col min="6" max="6" width="10.42578125" style="2" bestFit="1" customWidth="1"/>
    <col min="7" max="7" width="10.85546875" style="2" bestFit="1" customWidth="1"/>
    <col min="8" max="8" width="9.7109375" style="2" bestFit="1" customWidth="1"/>
    <col min="9" max="9" width="10.28515625" style="2" bestFit="1" customWidth="1"/>
    <col min="10" max="10" width="10.7109375" style="2" bestFit="1" customWidth="1"/>
    <col min="11" max="11" width="19.7109375" style="2" bestFit="1" customWidth="1"/>
    <col min="12" max="12" width="27.140625" style="2" bestFit="1" customWidth="1"/>
    <col min="13" max="16384" width="14.42578125" style="2"/>
  </cols>
  <sheetData>
    <row r="1" spans="1:25" s="48" customFormat="1" ht="25.5" x14ac:dyDescent="0.2">
      <c r="A1" s="46" t="s">
        <v>285</v>
      </c>
      <c r="B1" s="46" t="s">
        <v>286</v>
      </c>
      <c r="C1" s="46" t="s">
        <v>287</v>
      </c>
      <c r="D1" s="46" t="s">
        <v>288</v>
      </c>
      <c r="E1" s="46" t="s">
        <v>289</v>
      </c>
      <c r="F1" s="46" t="s">
        <v>290</v>
      </c>
      <c r="G1" s="46" t="s">
        <v>291</v>
      </c>
      <c r="H1" s="46" t="s">
        <v>292</v>
      </c>
      <c r="I1" s="46" t="s">
        <v>293</v>
      </c>
      <c r="J1" s="46" t="s">
        <v>294</v>
      </c>
      <c r="K1" s="46" t="s">
        <v>295</v>
      </c>
      <c r="L1" s="46" t="s">
        <v>296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5.75" customHeight="1" x14ac:dyDescent="0.2">
      <c r="A2" s="37" t="s">
        <v>297</v>
      </c>
      <c r="B2" s="37" t="s">
        <v>298</v>
      </c>
      <c r="C2" s="38" t="s">
        <v>299</v>
      </c>
      <c r="D2" s="39" t="s">
        <v>300</v>
      </c>
      <c r="E2" s="39" t="s">
        <v>301</v>
      </c>
      <c r="F2" s="40">
        <v>41843</v>
      </c>
      <c r="G2" s="40">
        <v>41843</v>
      </c>
      <c r="H2" s="39" t="s">
        <v>302</v>
      </c>
      <c r="I2" s="41">
        <v>0.45833333333333331</v>
      </c>
      <c r="J2" s="41">
        <v>0.52083333333333337</v>
      </c>
      <c r="K2" s="39" t="s">
        <v>303</v>
      </c>
      <c r="L2" s="39" t="s">
        <v>304</v>
      </c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15.75" customHeight="1" x14ac:dyDescent="0.2">
      <c r="A3" s="37"/>
      <c r="B3" s="39"/>
      <c r="C3" s="38"/>
      <c r="D3" s="39"/>
      <c r="E3" s="39"/>
      <c r="F3" s="40"/>
      <c r="G3" s="40"/>
      <c r="H3" s="39"/>
      <c r="I3" s="41"/>
      <c r="J3" s="41"/>
      <c r="K3" s="39"/>
      <c r="L3" s="39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5.75" customHeight="1" x14ac:dyDescent="0.2">
      <c r="A4" s="37"/>
      <c r="B4" s="39"/>
      <c r="C4" s="38"/>
      <c r="D4" s="39"/>
      <c r="E4" s="39"/>
      <c r="F4" s="40"/>
      <c r="G4" s="40"/>
      <c r="H4" s="39"/>
      <c r="I4" s="41"/>
      <c r="J4" s="41"/>
      <c r="K4" s="39"/>
      <c r="L4" s="39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15.75" customHeight="1" x14ac:dyDescent="0.2">
      <c r="A5" s="37"/>
      <c r="B5" s="39"/>
      <c r="C5" s="38"/>
      <c r="D5" s="39"/>
      <c r="E5" s="39"/>
      <c r="F5" s="40"/>
      <c r="G5" s="40"/>
      <c r="H5" s="39"/>
      <c r="I5" s="41"/>
      <c r="J5" s="41"/>
      <c r="K5" s="39"/>
      <c r="L5" s="39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15.75" customHeight="1" x14ac:dyDescent="0.2">
      <c r="A6" s="37"/>
      <c r="B6" s="39"/>
      <c r="C6" s="38"/>
      <c r="D6" s="39"/>
      <c r="E6" s="39"/>
      <c r="F6" s="40"/>
      <c r="G6" s="40"/>
      <c r="H6" s="39"/>
      <c r="I6" s="41"/>
      <c r="J6" s="41"/>
      <c r="K6" s="39"/>
      <c r="L6" s="39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15.75" customHeight="1" x14ac:dyDescent="0.2">
      <c r="A7" s="37"/>
      <c r="B7" s="39"/>
      <c r="C7" s="38"/>
      <c r="D7" s="39"/>
      <c r="E7" s="39"/>
      <c r="F7" s="40"/>
      <c r="G7" s="40"/>
      <c r="H7" s="39"/>
      <c r="I7" s="41"/>
      <c r="J7" s="41"/>
      <c r="K7" s="39"/>
      <c r="L7" s="39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5.75" customHeight="1" x14ac:dyDescent="0.2">
      <c r="A8" s="37"/>
      <c r="B8" s="39"/>
      <c r="C8" s="38"/>
      <c r="D8" s="39"/>
      <c r="E8" s="39"/>
      <c r="F8" s="40"/>
      <c r="G8" s="40"/>
      <c r="H8" s="39"/>
      <c r="I8" s="41"/>
      <c r="J8" s="41"/>
      <c r="K8" s="39"/>
      <c r="L8" s="39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5.75" customHeight="1" x14ac:dyDescent="0.2">
      <c r="A9" s="37"/>
      <c r="B9" s="39"/>
      <c r="C9" s="38"/>
      <c r="D9" s="39"/>
      <c r="E9" s="39"/>
      <c r="F9" s="40"/>
      <c r="G9" s="40"/>
      <c r="H9" s="39"/>
      <c r="I9" s="41"/>
      <c r="J9" s="41"/>
      <c r="K9" s="39"/>
      <c r="L9" s="39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15.75" customHeight="1" x14ac:dyDescent="0.2">
      <c r="A10" s="37"/>
      <c r="B10" s="39"/>
      <c r="C10" s="38"/>
      <c r="D10" s="39"/>
      <c r="E10" s="39"/>
      <c r="F10" s="40"/>
      <c r="G10" s="40"/>
      <c r="H10" s="39"/>
      <c r="I10" s="41"/>
      <c r="J10" s="41"/>
      <c r="K10" s="39"/>
      <c r="L10" s="39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5.75" customHeight="1" x14ac:dyDescent="0.2">
      <c r="A11" s="37"/>
      <c r="B11" s="39"/>
      <c r="C11" s="38"/>
      <c r="D11" s="39"/>
      <c r="E11" s="39"/>
      <c r="F11" s="40"/>
      <c r="G11" s="40"/>
      <c r="H11" s="39"/>
      <c r="I11" s="41"/>
      <c r="J11" s="41"/>
      <c r="K11" s="39"/>
      <c r="L11" s="39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15.75" customHeight="1" x14ac:dyDescent="0.2">
      <c r="A12" s="37"/>
      <c r="B12" s="39"/>
      <c r="C12" s="38"/>
      <c r="D12" s="39"/>
      <c r="E12" s="39"/>
      <c r="F12" s="40"/>
      <c r="G12" s="40"/>
      <c r="H12" s="39"/>
      <c r="I12" s="41"/>
      <c r="J12" s="41"/>
      <c r="K12" s="39"/>
      <c r="L12" s="39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15.75" customHeight="1" x14ac:dyDescent="0.2">
      <c r="A13" s="37"/>
      <c r="B13" s="39"/>
      <c r="C13" s="38"/>
      <c r="D13" s="39"/>
      <c r="E13" s="39"/>
      <c r="F13" s="40"/>
      <c r="G13" s="40"/>
      <c r="H13" s="39"/>
      <c r="I13" s="41"/>
      <c r="J13" s="41"/>
      <c r="K13" s="39"/>
      <c r="L13" s="39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15.75" customHeight="1" x14ac:dyDescent="0.2">
      <c r="A14" s="37"/>
      <c r="B14" s="39"/>
      <c r="C14" s="38"/>
      <c r="D14" s="39"/>
      <c r="E14" s="39"/>
      <c r="F14" s="40"/>
      <c r="G14" s="40"/>
      <c r="H14" s="39"/>
      <c r="I14" s="41"/>
      <c r="J14" s="41"/>
      <c r="K14" s="39"/>
      <c r="L14" s="39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15.75" customHeight="1" x14ac:dyDescent="0.2">
      <c r="A15" s="37"/>
      <c r="B15" s="39"/>
      <c r="C15" s="38"/>
      <c r="D15" s="39"/>
      <c r="E15" s="39"/>
      <c r="F15" s="40"/>
      <c r="G15" s="40"/>
      <c r="H15" s="39"/>
      <c r="I15" s="41"/>
      <c r="J15" s="41"/>
      <c r="K15" s="39"/>
      <c r="L15" s="39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15.75" customHeight="1" x14ac:dyDescent="0.2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5.75" customHeight="1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5.7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5.75" customHeight="1" x14ac:dyDescent="0.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5.75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5.75" customHeight="1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2.75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2.75" x14ac:dyDescent="0.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2.75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2.75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2.75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2.75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2.75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2.75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2.75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2.75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2.75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2.75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2.75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2.75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2.75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12.75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12.75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12.75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12.75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2.75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2.75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12.75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2.75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2.75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2.75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12.75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2.75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2.75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12.75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2.75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12.75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12.75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2.75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2.75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12.75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2.75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2.75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12.75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2.75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2.75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2.75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12.75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12.75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12.75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2.75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2.75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2.75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12.75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12.75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2.75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2.75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2.75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2.75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12.75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12.75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12.75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12.75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12.75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12.75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2.75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12.75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12.75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12.75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12.75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12.75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12.75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12.75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12.75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12.75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12.75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12.75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12.75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12.75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12.75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12.75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12.75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12.75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12.75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2.75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12.75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12.75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12.75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12.75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12.75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12.75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2.75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12.75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12.75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12.75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12.75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12.75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12.75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12.75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12.75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12.75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12.75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12.75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12.75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12.75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12.75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12.75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12.75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12.75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12.75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12.75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12.75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12.75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12.75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12.75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12.75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12.75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12.75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12.75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12.75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12.75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2.75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12.75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12.75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12.75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12.75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12.75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12.75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12.75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12.75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12.75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2.75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12.75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12.75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12.75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12.75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12.75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12.75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12.75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12.75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12.75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12.75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12.75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12.75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2.75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2.75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2.75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2.75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2.75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2.75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12.75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2.75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2.75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2.75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2.75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2.75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2.75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2.75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2.75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2.75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2.75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2.75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2.75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2.75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2.75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2.75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2.75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2.75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2.75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2.75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2.75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2.75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2.75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2.75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2.75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2.75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2.75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2.75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2.75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2.75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2.75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2.75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2.75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2.75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2.75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2.75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2.75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2.75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2.75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2.75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2.75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2.75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2.75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12.75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12.75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12.75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12.75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12.75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12.75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12.75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12.75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12.75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12.75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12.75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12.75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12.75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12.75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12.75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12.75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2.75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12.75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2.75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2.75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2.75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2.75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2.75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2.75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2.75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2.75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2.75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2.75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12.75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2.75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2.75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2.75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2.75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2.75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2.75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2.75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2.75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2.75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2.75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2.75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2.75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2.75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2.75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2.75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2.75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2.75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2.75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2.75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2.75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2.75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2.75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2.75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2.75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2.75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2.75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2.75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2.75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2.75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2.75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2.75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2.75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2.75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2.75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2.75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12.75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12.75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12.75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12.75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12.75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12.75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12.75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12.75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12.75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12.75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12.75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12.75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12.75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12.75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12.75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12.75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12.75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12.75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12.75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12.75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12.75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12.75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12.75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12.75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12.75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12.75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12.75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12.75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12.75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12.75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12.75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12.75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12.75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12.75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12.75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12.75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12.75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12.75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12.75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12.75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12.75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12.75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12.75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12.75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12.75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12.75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12.75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12.75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1:25" ht="12.75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1:25" ht="12.75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1:25" ht="12.75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1:25" ht="12.75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1:25" ht="12.75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1:25" ht="12.75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1:25" ht="12.75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1:25" ht="12.75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1:25" ht="12.75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1:25" ht="12.75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5" ht="12.75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1:25" ht="12.75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1:25" ht="12.75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1:25" ht="12.75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1:25" ht="12.75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1:25" ht="12.75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1:25" ht="12.75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1:25" ht="12.75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1:25" ht="12.75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5" ht="12.75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5" ht="12.75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1:25" ht="12.75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1:25" ht="12.75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1:25" ht="12.75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1:25" ht="12.75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1:25" ht="12.75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1:25" ht="12.75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1:25" ht="12.75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1:25" ht="12.75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1:25" ht="12.75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1:25" ht="12.75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1:25" ht="12.75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1:25" ht="12.75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1:25" ht="12.75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1:25" ht="12.75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1:25" ht="12.75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1:25" ht="12.75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1:25" ht="12.75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1:25" ht="12.75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1:25" ht="12.75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1:25" ht="12.75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1:25" ht="12.75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1:25" ht="12.75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1:25" ht="12.75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1:25" ht="12.75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1:25" ht="12.75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1:25" ht="12.75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1:25" ht="12.75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1:25" ht="12.75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1:25" ht="12.75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1:25" ht="12.75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1:25" ht="12.75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1:25" ht="12.75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1:25" ht="12.75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1:25" ht="12.75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1:25" ht="12.75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1:25" ht="12.75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1:25" ht="12.75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1:25" ht="12.75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1:25" ht="12.75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1:25" ht="12.75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1:25" ht="12.75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1:25" ht="12.75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1:25" ht="12.75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1:25" ht="12.75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1:25" ht="12.75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1:25" ht="12.75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5" ht="12.75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1:25" ht="12.75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1:25" ht="12.75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1:25" ht="12.75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1:25" ht="12.75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1:25" ht="12.75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1:25" ht="12.75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1:25" ht="12.75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1:25" ht="12.75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1:25" ht="12.75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1:25" ht="12.75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1:25" ht="12.75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1:25" ht="12.75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1:25" ht="12.75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1:25" ht="12.75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1:25" ht="12.75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1:25" ht="12.75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1:25" ht="12.75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1:25" ht="12.75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1:25" ht="12.75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1:25" ht="12.75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1:25" ht="12.75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1:25" ht="12.75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1:25" ht="12.75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1:25" ht="12.75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1:25" ht="12.75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1:25" ht="12.75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1:25" ht="12.75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1:25" ht="12.75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1:25" ht="12.75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1:25" ht="12.75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1:25" ht="12.75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1:25" ht="12.75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1:25" ht="12.75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1:25" ht="12.75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1:25" ht="12.75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1:25" ht="12.75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1:25" ht="12.75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1:25" ht="12.75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1:25" ht="12.75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1:25" ht="12.75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1:25" ht="12.75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1:25" ht="12.75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1:25" ht="12.75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1:25" ht="12.75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1:25" ht="12.75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1:25" ht="12.75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1:25" ht="12.75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1:25" ht="12.75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1:25" ht="12.75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1:25" ht="12.75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1:25" ht="12.75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1:25" ht="12.75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1:25" ht="12.75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1:25" ht="12.75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1:25" ht="12.75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1:25" ht="12.75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1:25" ht="12.75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1:25" ht="12.75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1:25" ht="12.75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1:25" ht="12.75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12.75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12.75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12.75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12.75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12.75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12.75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12.75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12.75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12.75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12.75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12.75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12.75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12.75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12.75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12.75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12.75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12.75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12.75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12.75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12.75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12.75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12.75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12.75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12.75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12.75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12.75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12.75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12.75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12.75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12.75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12.75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12.75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12.75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12.75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12.75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12.75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12.75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12.75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12.75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12.75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12.75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12.75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12.75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12.75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12.75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12.75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12.75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12.75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12.75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12.75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12.75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12.75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12.75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12.75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12.75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12.75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12.75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12.75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12.75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12.75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12.75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12.75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12.75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12.75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12.75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12.75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12.75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12.75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12.75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12.75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12.75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12.75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12.75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12.75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12.75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12.75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12.75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12.75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12.75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12.75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12.75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12.75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12.75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12.75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12.75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12.75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12.75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12.75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12.75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12.75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12.75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12.75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12.75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12.75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12.75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12.75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12.75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12.75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12.75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12.75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12.75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12.75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12.75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12.75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12.75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12.75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12.75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12.75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12.75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12.75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12.75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12.75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12.75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12.75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12.75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12.75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12.75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12.75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12.75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12.75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12.75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12.75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12.75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12.75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12.75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12.75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12.75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12.75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12.75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12.75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12.75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12.75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12.75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12.75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12.75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12.75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12.75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12.75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12.75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12.75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12.75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12.75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12.75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12.75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12.75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12.75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12.75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12.75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12.75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12.75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12.75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12.75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12.75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12.75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12.75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12.75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12.75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12.75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12.75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12.75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12.75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12.75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12.75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12.75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12.75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12.75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12.75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12.75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12.75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12.75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12.75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12.75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12.75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12.75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12.75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12.75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12.75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12.75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12.75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12.75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12.75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12.75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12.75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12.75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12.75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12.75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12.75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12.75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12.75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12.75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12.75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12.75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12.75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12.75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12.75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12.75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12.75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12.75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12.75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12.75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12.75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12.75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12.75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12.75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12.75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12.75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12.75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12.75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12.75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12.75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12.75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12.75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12.75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12.75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12.75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12.75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12.75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12.75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12.75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12.75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12.75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12.75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12.75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12.75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12.75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12.75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12.75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12.75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12.75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12.75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12.75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12.75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12.75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12.75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12.75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12.75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12.75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12.75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12.75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12.75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12.75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12.75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12.75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12.75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12.75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12.75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12.75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12.75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12.75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12.75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12.75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12.75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12.75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12.75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12.75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12.75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12.75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12.75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12.75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12.75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12.75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12.75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12.75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12.75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12.75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12.75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12.75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12.75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12.75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12.75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12.75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12.75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12.75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12.75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12.75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12.75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12.75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12.75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12.75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12.75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12.75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12.75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12.75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12.75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12.75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12.75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12.75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12.75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12.75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12.75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12.75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12.75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12.75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12.75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12.75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12.75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12.75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12.75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12.75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12.75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12.75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12.75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12.75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12.75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12.75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12.75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12.75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12.75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12.75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12.75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12.75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12.75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12.75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12.75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12.75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12.75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12.75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12.75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12.75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12.75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12.75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12.75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12.75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12.75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12.75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12.75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12.75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12.75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12.75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12.75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12.75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12.75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12.75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12.75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12.75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12.75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12.75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12.75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12.75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12.75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12.75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12.75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12.75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12.75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12.75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12.75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12.75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12.75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12.75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12.75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12.75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12.75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12.75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12.75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12.75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12.75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12.75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12.75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12.75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12.75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12.75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12.75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12.75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12.75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12.75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12.75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12.75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12.75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12.75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12.75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12.75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12.75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12.75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12.75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12.75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12.75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12.75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12.75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12.75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12.75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12.75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12.75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12.75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12.75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12.75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12.75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12.75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12.75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12.75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12.75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12.75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12.75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12.75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12.75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12.75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12.75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12.75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12.75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12.75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12.75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12.75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12.75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12.75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12.75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12.75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12.75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12.75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12.75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12.75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12.75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12.75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12.75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12.75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12.75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12.75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12.75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12.75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12.75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12.75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12.75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12.75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12.75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12.75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12.75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12.75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12.75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12.75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12.75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12.75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12.75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12.75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12.75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12.75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12.75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12.75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12.75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12.75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12.75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12.75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12.75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12.75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12.75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12.75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12.75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12.75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12.75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12.75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12.75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12.75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12.75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12.75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12.75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12.75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12.75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12.75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12.75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12.75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12.75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12.75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12.75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12.75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12.75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12.75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12.75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12.75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12.75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12.75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12.75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12.75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12.75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12.75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12.75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12.75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12.75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12.75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12.75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12.75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12.75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12.75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12.75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12.75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12.75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12.75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12.75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12.75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12.75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12.75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12.75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12.75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12.75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12.75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12.75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12.75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12.75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12.75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12.75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12.75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12.75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12.75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12.75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12.75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12.75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12.75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12.75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12.75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12.75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12.75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12.75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12.75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12.75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12.75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12.75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spans="1:25" ht="12.75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spans="1:25" ht="12.75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spans="1:25" ht="12.75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spans="1:25" ht="12.75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spans="1:25" ht="12.75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spans="1:25" ht="12.75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spans="1:25" ht="12.75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spans="1:25" ht="12.75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spans="1:25" ht="12.75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spans="1:25" ht="12.75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spans="1:25" ht="12.75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spans="1:25" ht="12.75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spans="1:25" ht="12.75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spans="1:25" ht="12.75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spans="1:25" ht="12.75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spans="1:25" ht="12.75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spans="1:25" ht="12.75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spans="1:25" ht="12.75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spans="1:25" ht="12.75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spans="1:25" ht="12.75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spans="1:25" ht="12.75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spans="1:25" ht="12.75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spans="1:25" ht="12.75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spans="1:25" ht="12.75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spans="1:25" ht="12.75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spans="1:25" ht="12.75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spans="1:25" ht="12.75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spans="1:25" ht="12.75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spans="1:25" ht="12.75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spans="1:25" ht="12.75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spans="1:25" ht="12.75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spans="1:25" ht="12.75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spans="1:25" ht="12.75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spans="1:25" ht="12.75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spans="1:25" ht="12.75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spans="1:25" ht="12.75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spans="1:25" ht="12.75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spans="1:25" ht="12.75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spans="1:25" ht="12.75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 spans="1:25" ht="12.75" x14ac:dyDescent="0.2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</sheetData>
  <dataValidations count="28">
    <dataValidation type="list" sqref="A2">
      <formula1>"Not Scheduled,Scheduled,Complete"</formula1>
    </dataValidation>
    <dataValidation type="list" sqref="B2">
      <formula1>"Technical,Functional,Data,Organization,Management"</formula1>
    </dataValidation>
    <dataValidation type="list" sqref="A3">
      <formula1>"Not Scheduled,Scheduled,Complete"</formula1>
    </dataValidation>
    <dataValidation type="list" sqref="B3">
      <formula1>"Technical,Functional,Data,Organization,Management"</formula1>
    </dataValidation>
    <dataValidation type="list" sqref="A4">
      <formula1>"Not Scheduled,Scheduled,Complete"</formula1>
    </dataValidation>
    <dataValidation type="list" sqref="B4">
      <formula1>"Technical,Functional,Data,Organization,Management"</formula1>
    </dataValidation>
    <dataValidation type="list" sqref="A5">
      <formula1>"Not Scheduled,Scheduled,Complete"</formula1>
    </dataValidation>
    <dataValidation type="list" sqref="B5">
      <formula1>"Technical,Functional,Data,Organization,Management"</formula1>
    </dataValidation>
    <dataValidation type="list" sqref="A6">
      <formula1>"Not Scheduled,Scheduled,Complete"</formula1>
    </dataValidation>
    <dataValidation type="list" sqref="B6">
      <formula1>"Technical,Functional,Data,Organization,Management"</formula1>
    </dataValidation>
    <dataValidation type="list" sqref="A7">
      <formula1>"Not Scheduled,Scheduled,Complete"</formula1>
    </dataValidation>
    <dataValidation type="list" sqref="B7">
      <formula1>"Technical,Functional,Data,Organization,Management"</formula1>
    </dataValidation>
    <dataValidation type="list" sqref="A8">
      <formula1>"Not Scheduled,Scheduled,Complete"</formula1>
    </dataValidation>
    <dataValidation type="list" sqref="B8">
      <formula1>"Technical,Functional,Data,Organization,Management"</formula1>
    </dataValidation>
    <dataValidation type="list" sqref="A9">
      <formula1>"Not Scheduled,Scheduled,Complete"</formula1>
    </dataValidation>
    <dataValidation type="list" sqref="B9">
      <formula1>"Technical,Functional,Data,Organization,Management"</formula1>
    </dataValidation>
    <dataValidation type="list" sqref="A10">
      <formula1>"Not Scheduled,Scheduled,Complete"</formula1>
    </dataValidation>
    <dataValidation type="list" sqref="B10">
      <formula1>"Technical,Functional,Data,Organization,Management"</formula1>
    </dataValidation>
    <dataValidation type="list" sqref="A11">
      <formula1>"Not Scheduled,Scheduled,Complete"</formula1>
    </dataValidation>
    <dataValidation type="list" sqref="B11">
      <formula1>"Technical,Functional,Data,Organization,Management"</formula1>
    </dataValidation>
    <dataValidation type="list" sqref="A12">
      <formula1>"Not Scheduled,Scheduled,Complete"</formula1>
    </dataValidation>
    <dataValidation type="list" sqref="B12">
      <formula1>"Technical,Functional,Data,Organization,Management"</formula1>
    </dataValidation>
    <dataValidation type="list" sqref="A13">
      <formula1>"Not Scheduled,Scheduled,Complete"</formula1>
    </dataValidation>
    <dataValidation type="list" sqref="B13">
      <formula1>"Technical,Functional,Data,Organization,Management"</formula1>
    </dataValidation>
    <dataValidation type="list" sqref="A14">
      <formula1>"Not Scheduled,Scheduled,Complete"</formula1>
    </dataValidation>
    <dataValidation type="list" sqref="B14">
      <formula1>"Technical,Functional,Data,Organization,Management"</formula1>
    </dataValidation>
    <dataValidation type="list" sqref="A15">
      <formula1>"Not Scheduled,Scheduled,Complete"</formula1>
    </dataValidation>
    <dataValidation type="list" sqref="B15">
      <formula1>"Technical,Functional,Data,Organization,Management"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Z998"/>
  <sheetViews>
    <sheetView workbookViewId="0">
      <selection sqref="A1:XFD1"/>
    </sheetView>
  </sheetViews>
  <sheetFormatPr defaultColWidth="14.42578125" defaultRowHeight="15.75" customHeight="1" x14ac:dyDescent="0.2"/>
  <cols>
    <col min="1" max="1" width="14.28515625" style="2" customWidth="1"/>
    <col min="2" max="2" width="36.7109375" style="2" customWidth="1"/>
    <col min="3" max="3" width="8.140625" style="2" bestFit="1" customWidth="1"/>
    <col min="4" max="4" width="11.7109375" style="2" customWidth="1"/>
    <col min="5" max="5" width="10.85546875" style="2" bestFit="1" customWidth="1"/>
    <col min="6" max="6" width="9.7109375" style="2" bestFit="1" customWidth="1"/>
    <col min="7" max="7" width="11.5703125" style="2" customWidth="1"/>
    <col min="8" max="8" width="12.28515625" style="2" customWidth="1"/>
    <col min="9" max="9" width="16" style="2" customWidth="1"/>
    <col min="10" max="10" width="23.42578125" style="2" customWidth="1"/>
    <col min="11" max="16384" width="14.42578125" style="2"/>
  </cols>
  <sheetData>
    <row r="1" spans="1:26" s="35" customFormat="1" ht="29.45" customHeight="1" x14ac:dyDescent="0.2">
      <c r="A1" s="46" t="s">
        <v>305</v>
      </c>
      <c r="B1" s="46" t="s">
        <v>306</v>
      </c>
      <c r="C1" s="46" t="s">
        <v>307</v>
      </c>
      <c r="D1" s="46" t="s">
        <v>308</v>
      </c>
      <c r="E1" s="46" t="s">
        <v>309</v>
      </c>
      <c r="F1" s="46" t="s">
        <v>310</v>
      </c>
      <c r="G1" s="46" t="s">
        <v>311</v>
      </c>
      <c r="H1" s="46" t="s">
        <v>312</v>
      </c>
      <c r="I1" s="46" t="s">
        <v>313</v>
      </c>
      <c r="J1" s="46" t="s">
        <v>314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8.25" x14ac:dyDescent="0.2">
      <c r="A2" s="36" t="s">
        <v>315</v>
      </c>
      <c r="B2" s="36" t="s">
        <v>316</v>
      </c>
      <c r="C2" s="36" t="s">
        <v>317</v>
      </c>
      <c r="D2" s="36" t="s">
        <v>318</v>
      </c>
      <c r="E2" s="36" t="s">
        <v>319</v>
      </c>
      <c r="F2" s="36" t="s">
        <v>320</v>
      </c>
      <c r="G2" s="36" t="s">
        <v>321</v>
      </c>
      <c r="H2" s="36" t="s">
        <v>322</v>
      </c>
      <c r="I2" s="36" t="s">
        <v>323</v>
      </c>
      <c r="J2" s="36" t="s">
        <v>324</v>
      </c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 x14ac:dyDescent="0.2">
      <c r="A4" s="36"/>
      <c r="B4" s="36"/>
      <c r="C4" s="36"/>
      <c r="D4" s="36"/>
      <c r="E4" s="36"/>
      <c r="F4" s="36"/>
      <c r="G4" s="36"/>
      <c r="H4" s="36"/>
      <c r="I4" s="36"/>
      <c r="J4" s="36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 x14ac:dyDescent="0.2">
      <c r="A5" s="36"/>
      <c r="B5" s="36"/>
      <c r="C5" s="36"/>
      <c r="D5" s="36"/>
      <c r="E5" s="36"/>
      <c r="F5" s="36"/>
      <c r="G5" s="36"/>
      <c r="H5" s="36"/>
      <c r="I5" s="36"/>
      <c r="J5" s="36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customHeight="1" x14ac:dyDescent="0.2">
      <c r="A6" s="36"/>
      <c r="B6" s="36"/>
      <c r="C6" s="36"/>
      <c r="D6" s="36"/>
      <c r="E6" s="36"/>
      <c r="F6" s="36"/>
      <c r="G6" s="36"/>
      <c r="H6" s="36"/>
      <c r="I6" s="36"/>
      <c r="J6" s="36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customHeight="1" x14ac:dyDescent="0.2">
      <c r="A7" s="36"/>
      <c r="B7" s="36"/>
      <c r="C7" s="36"/>
      <c r="D7" s="36"/>
      <c r="E7" s="36"/>
      <c r="F7" s="36"/>
      <c r="G7" s="36"/>
      <c r="H7" s="36"/>
      <c r="I7" s="36"/>
      <c r="J7" s="36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75" customHeight="1" x14ac:dyDescent="0.2">
      <c r="A8" s="36"/>
      <c r="B8" s="36"/>
      <c r="C8" s="36"/>
      <c r="D8" s="36"/>
      <c r="E8" s="36"/>
      <c r="F8" s="36"/>
      <c r="G8" s="36"/>
      <c r="H8" s="36"/>
      <c r="I8" s="36"/>
      <c r="J8" s="36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customHeight="1" x14ac:dyDescent="0.2">
      <c r="A9" s="36"/>
      <c r="B9" s="36"/>
      <c r="C9" s="36"/>
      <c r="D9" s="36"/>
      <c r="E9" s="36"/>
      <c r="F9" s="36"/>
      <c r="G9" s="36"/>
      <c r="H9" s="36"/>
      <c r="I9" s="36"/>
      <c r="J9" s="36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.75" customHeight="1" x14ac:dyDescent="0.2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 x14ac:dyDescent="0.2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.75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customHeight="1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customHeight="1" x14ac:dyDescent="0.2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customHeight="1" x14ac:dyDescent="0.2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customHeight="1" x14ac:dyDescent="0.2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 x14ac:dyDescent="0.2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customHeight="1" x14ac:dyDescent="0.2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 x14ac:dyDescent="0.2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 x14ac:dyDescent="0.2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75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75" x14ac:dyDescent="0.2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2.75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2.75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2.75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2.75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2.75" x14ac:dyDescent="0.2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2.75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2.75" x14ac:dyDescent="0.2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2.75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2.75" x14ac:dyDescent="0.2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2.75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2.75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2.75" x14ac:dyDescent="0.2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2.75" x14ac:dyDescent="0.2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2.75" x14ac:dyDescent="0.2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2.75" x14ac:dyDescent="0.2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2.75" x14ac:dyDescent="0.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2.75" x14ac:dyDescent="0.2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2.75" x14ac:dyDescent="0.2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2.75" x14ac:dyDescent="0.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2.75" x14ac:dyDescent="0.2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2.75" x14ac:dyDescent="0.2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2.75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2.75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2.75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2.75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2.75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2.75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2.75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2.75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2.75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2.75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2.75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2.75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2.75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2.75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2.75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2.75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2.75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2.75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2.75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2.75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2.75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2.75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2.75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2.75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2.75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2.75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2.75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2.75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2.75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2.75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2.75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2.75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2.75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2.75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2.75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2.75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2.75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2.75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2.75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2.75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2.75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2.75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2.75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2.75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2.75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2.75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2.75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2.75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2.75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2.75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2.75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2.75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2.75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2.75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2.75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2.75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2.75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2.75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2.75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2.75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2.75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2.75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2.75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2.75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2.75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2.75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2.75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2.75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2.75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2.75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2.75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2.75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2.75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2.75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2.75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2.75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2.75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2.75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2.75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2.75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2.75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2.75" x14ac:dyDescent="0.2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2.75" x14ac:dyDescent="0.2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2.75" x14ac:dyDescent="0.2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2.75" x14ac:dyDescent="0.2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2.75" x14ac:dyDescent="0.2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2.75" x14ac:dyDescent="0.2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2.75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2.75" x14ac:dyDescent="0.2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2.75" x14ac:dyDescent="0.2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2.75" x14ac:dyDescent="0.2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2.75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2.75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2.75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2.75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2.75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2.75" x14ac:dyDescent="0.2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2.75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2.75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2.75" x14ac:dyDescent="0.2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2.75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2.75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2.75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2.75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2.75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2.75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2.75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2.75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2.75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2.75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2.75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2.75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2.75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2.75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2.75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2.75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2.75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2.75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2.75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2.75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2.75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2.75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2.75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2.75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2.75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2.75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2.75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2.75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2.75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2.75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2.75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2.75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2.75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2.75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2.75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2.75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2.75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2.75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2.75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2.75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2.75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2.75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2.75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2.75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2.75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2.75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2.75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2.75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2.75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2.75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2.75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2.75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2.75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2.75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2.75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2.75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2.75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2.75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2.75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2.75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2.75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2.75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2.75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2.75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2.75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2.75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2.75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2.75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2.75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2.75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2.75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2.75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2.75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2.75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2.75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2.75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2.75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2.75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2.75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2.75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2.75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2.75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2.75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2.75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2.75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2.75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2.75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2.75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2.75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2.75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2.75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2.75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2.75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2.75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2.75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2.75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2.75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2.75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2.75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2.75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2.75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2.75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2.75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2.75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2.75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2.75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2.75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2.75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2.75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2.75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2.75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2.75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2.75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2.75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2.75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2.75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2.75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2.75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2.75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2.75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2.75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2.75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2.75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2.75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2.75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2.75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2.75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2.75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2.75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2.75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2.75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2.75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2.75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2.75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2.75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2.75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2.75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2.75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2.75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2.75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2.75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2.75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2.75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2.75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2.75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2.75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2.75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2.75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2.75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2.75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2.75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2.75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2.75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2.75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2.75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2.75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2.75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2.75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2.75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2.75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2.75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2.75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2.75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2.75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2.75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2.75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2.75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2.75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2.75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2.75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2.75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2.75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2.75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2.75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2.75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2.75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2.75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2.75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2.75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2.75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2.75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2.75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2.75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2.75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2.75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2.75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2.75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2.75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2.75" x14ac:dyDescent="0.2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2.75" x14ac:dyDescent="0.2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2.75" x14ac:dyDescent="0.2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2.75" x14ac:dyDescent="0.2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2.75" x14ac:dyDescent="0.2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2.75" x14ac:dyDescent="0.2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2.75" x14ac:dyDescent="0.2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2.75" x14ac:dyDescent="0.2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2.75" x14ac:dyDescent="0.2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2.75" x14ac:dyDescent="0.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2.75" x14ac:dyDescent="0.2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2.75" x14ac:dyDescent="0.2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2.75" x14ac:dyDescent="0.2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2.75" x14ac:dyDescent="0.2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2.75" x14ac:dyDescent="0.2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2.75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2.75" x14ac:dyDescent="0.2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2.75" x14ac:dyDescent="0.2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2.75" x14ac:dyDescent="0.2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2.75" x14ac:dyDescent="0.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2.75" x14ac:dyDescent="0.2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2.75" x14ac:dyDescent="0.2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2.75" x14ac:dyDescent="0.2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2.75" x14ac:dyDescent="0.2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2.75" x14ac:dyDescent="0.2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2.75" x14ac:dyDescent="0.2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2.75" x14ac:dyDescent="0.2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2.75" x14ac:dyDescent="0.2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2.75" x14ac:dyDescent="0.2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2.75" x14ac:dyDescent="0.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2.75" x14ac:dyDescent="0.2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2.75" x14ac:dyDescent="0.2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2.75" x14ac:dyDescent="0.2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2.75" x14ac:dyDescent="0.2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2.75" x14ac:dyDescent="0.2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2.75" x14ac:dyDescent="0.2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2.75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2.75" x14ac:dyDescent="0.2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2.75" x14ac:dyDescent="0.2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2.75" x14ac:dyDescent="0.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2.75" x14ac:dyDescent="0.2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2.75" x14ac:dyDescent="0.2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2.75" x14ac:dyDescent="0.2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2.75" x14ac:dyDescent="0.2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2.75" x14ac:dyDescent="0.2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2.75" x14ac:dyDescent="0.2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2.75" x14ac:dyDescent="0.2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2.75" x14ac:dyDescent="0.2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2.75" x14ac:dyDescent="0.2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2.75" x14ac:dyDescent="0.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2.75" x14ac:dyDescent="0.2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2.75" x14ac:dyDescent="0.2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2.75" x14ac:dyDescent="0.2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2.75" x14ac:dyDescent="0.2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2.75" x14ac:dyDescent="0.2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2.75" x14ac:dyDescent="0.2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2.75" x14ac:dyDescent="0.2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2.75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2.75" x14ac:dyDescent="0.2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2.75" x14ac:dyDescent="0.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2.75" x14ac:dyDescent="0.2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2.75" x14ac:dyDescent="0.2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2.75" x14ac:dyDescent="0.2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2.75" x14ac:dyDescent="0.2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2.75" x14ac:dyDescent="0.2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2.75" x14ac:dyDescent="0.2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2.75" x14ac:dyDescent="0.2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2.75" x14ac:dyDescent="0.2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2.75" x14ac:dyDescent="0.2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2.75" x14ac:dyDescent="0.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2.75" x14ac:dyDescent="0.2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2.75" x14ac:dyDescent="0.2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2.75" x14ac:dyDescent="0.2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2.75" x14ac:dyDescent="0.2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2.75" x14ac:dyDescent="0.2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2.75" x14ac:dyDescent="0.2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2.75" x14ac:dyDescent="0.2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2.75" x14ac:dyDescent="0.2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2.75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2.75" x14ac:dyDescent="0.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2.75" x14ac:dyDescent="0.2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2.75" x14ac:dyDescent="0.2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2.75" x14ac:dyDescent="0.2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2.75" x14ac:dyDescent="0.2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2.75" x14ac:dyDescent="0.2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2.75" x14ac:dyDescent="0.2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2.75" x14ac:dyDescent="0.2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2.75" x14ac:dyDescent="0.2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2.75" x14ac:dyDescent="0.2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2.75" x14ac:dyDescent="0.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2.75" x14ac:dyDescent="0.2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2.75" x14ac:dyDescent="0.2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2.75" x14ac:dyDescent="0.2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2.75" x14ac:dyDescent="0.2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2.75" x14ac:dyDescent="0.2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2.75" x14ac:dyDescent="0.2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2.75" x14ac:dyDescent="0.2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2.75" x14ac:dyDescent="0.2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2.75" x14ac:dyDescent="0.2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2.75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2.75" x14ac:dyDescent="0.2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2.75" x14ac:dyDescent="0.2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2.75" x14ac:dyDescent="0.2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2.75" x14ac:dyDescent="0.2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2.75" x14ac:dyDescent="0.2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2.75" x14ac:dyDescent="0.2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2.75" x14ac:dyDescent="0.2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2.75" x14ac:dyDescent="0.2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2.75" x14ac:dyDescent="0.2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2.75" x14ac:dyDescent="0.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2.75" x14ac:dyDescent="0.2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2.75" x14ac:dyDescent="0.2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2.75" x14ac:dyDescent="0.2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2.75" x14ac:dyDescent="0.2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2.75" x14ac:dyDescent="0.2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2.75" x14ac:dyDescent="0.2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2.75" x14ac:dyDescent="0.2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2.75" x14ac:dyDescent="0.2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2.75" x14ac:dyDescent="0.2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2.75" x14ac:dyDescent="0.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2.75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2.75" x14ac:dyDescent="0.2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2.75" x14ac:dyDescent="0.2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2.75" x14ac:dyDescent="0.2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2.75" x14ac:dyDescent="0.2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2.75" x14ac:dyDescent="0.2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2.75" x14ac:dyDescent="0.2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2.75" x14ac:dyDescent="0.2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2.75" x14ac:dyDescent="0.2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2.75" x14ac:dyDescent="0.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2.75" x14ac:dyDescent="0.2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2.75" x14ac:dyDescent="0.2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2.75" x14ac:dyDescent="0.2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2.75" x14ac:dyDescent="0.2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2.75" x14ac:dyDescent="0.2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2.75" x14ac:dyDescent="0.2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2.75" x14ac:dyDescent="0.2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2.75" x14ac:dyDescent="0.2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2.75" x14ac:dyDescent="0.2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2.75" x14ac:dyDescent="0.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2.75" x14ac:dyDescent="0.2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2.75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2.75" x14ac:dyDescent="0.2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2.75" x14ac:dyDescent="0.2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2.75" x14ac:dyDescent="0.2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2.75" x14ac:dyDescent="0.2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2.75" x14ac:dyDescent="0.2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2.75" x14ac:dyDescent="0.2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2.75" x14ac:dyDescent="0.2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2.75" x14ac:dyDescent="0.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2.75" x14ac:dyDescent="0.2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2.75" x14ac:dyDescent="0.2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2.75" x14ac:dyDescent="0.2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2.75" x14ac:dyDescent="0.2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2.75" x14ac:dyDescent="0.2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2.75" x14ac:dyDescent="0.2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2.75" x14ac:dyDescent="0.2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2.75" x14ac:dyDescent="0.2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2.75" x14ac:dyDescent="0.2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2.75" x14ac:dyDescent="0.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2.75" x14ac:dyDescent="0.2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2.75" x14ac:dyDescent="0.2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2.75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2.75" x14ac:dyDescent="0.2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2.75" x14ac:dyDescent="0.2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2.75" x14ac:dyDescent="0.2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2.75" x14ac:dyDescent="0.2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2.75" x14ac:dyDescent="0.2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2.75" x14ac:dyDescent="0.2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2.75" x14ac:dyDescent="0.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2.75" x14ac:dyDescent="0.2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2.75" x14ac:dyDescent="0.2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2.75" x14ac:dyDescent="0.2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2.75" x14ac:dyDescent="0.2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2.75" x14ac:dyDescent="0.2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2.75" x14ac:dyDescent="0.2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2.75" x14ac:dyDescent="0.2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2.75" x14ac:dyDescent="0.2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2.75" x14ac:dyDescent="0.2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2.75" x14ac:dyDescent="0.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2.75" x14ac:dyDescent="0.2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2.75" x14ac:dyDescent="0.2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2.75" x14ac:dyDescent="0.2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2.75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2.75" x14ac:dyDescent="0.2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2.75" x14ac:dyDescent="0.2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2.75" x14ac:dyDescent="0.2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2.75" x14ac:dyDescent="0.2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2.75" x14ac:dyDescent="0.2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2.75" x14ac:dyDescent="0.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2.75" x14ac:dyDescent="0.2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2.75" x14ac:dyDescent="0.2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2.75" x14ac:dyDescent="0.2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2.75" x14ac:dyDescent="0.2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2.75" x14ac:dyDescent="0.2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2.75" x14ac:dyDescent="0.2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2.75" x14ac:dyDescent="0.2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2.75" x14ac:dyDescent="0.2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2.75" x14ac:dyDescent="0.2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2.75" x14ac:dyDescent="0.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2.75" x14ac:dyDescent="0.2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2.75" x14ac:dyDescent="0.2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2.75" x14ac:dyDescent="0.2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2.75" x14ac:dyDescent="0.2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2.75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2.75" x14ac:dyDescent="0.2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2.75" x14ac:dyDescent="0.2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2.75" x14ac:dyDescent="0.2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2.75" x14ac:dyDescent="0.2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2.75" x14ac:dyDescent="0.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2.75" x14ac:dyDescent="0.2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2.75" x14ac:dyDescent="0.2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2.75" x14ac:dyDescent="0.2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2.75" x14ac:dyDescent="0.2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2.75" x14ac:dyDescent="0.2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2.75" x14ac:dyDescent="0.2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2.75" x14ac:dyDescent="0.2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2.75" x14ac:dyDescent="0.2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2.75" x14ac:dyDescent="0.2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2.75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2.75" x14ac:dyDescent="0.2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2.75" x14ac:dyDescent="0.2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2.75" x14ac:dyDescent="0.2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2.75" x14ac:dyDescent="0.2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2.75" x14ac:dyDescent="0.2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2.75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2.75" x14ac:dyDescent="0.2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2.75" x14ac:dyDescent="0.2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2.75" x14ac:dyDescent="0.2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2.75" x14ac:dyDescent="0.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2.75" x14ac:dyDescent="0.2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2.75" x14ac:dyDescent="0.2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2.75" x14ac:dyDescent="0.2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2.75" x14ac:dyDescent="0.2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2.75" x14ac:dyDescent="0.2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2.75" x14ac:dyDescent="0.2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2.75" x14ac:dyDescent="0.2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2.75" x14ac:dyDescent="0.2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2.75" x14ac:dyDescent="0.2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2.75" x14ac:dyDescent="0.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2.75" x14ac:dyDescent="0.2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2.75" x14ac:dyDescent="0.2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2.75" x14ac:dyDescent="0.2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2.75" x14ac:dyDescent="0.2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2.75" x14ac:dyDescent="0.2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2.75" x14ac:dyDescent="0.2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2.75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2.75" x14ac:dyDescent="0.2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2.75" x14ac:dyDescent="0.2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2.75" x14ac:dyDescent="0.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2.75" x14ac:dyDescent="0.2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2.75" x14ac:dyDescent="0.2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2.75" x14ac:dyDescent="0.2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2.75" x14ac:dyDescent="0.2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2.75" x14ac:dyDescent="0.2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2.75" x14ac:dyDescent="0.2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2.75" x14ac:dyDescent="0.2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2.75" x14ac:dyDescent="0.2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2.75" x14ac:dyDescent="0.2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2.75" x14ac:dyDescent="0.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2.75" x14ac:dyDescent="0.2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2.75" x14ac:dyDescent="0.2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2.75" x14ac:dyDescent="0.2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2.75" x14ac:dyDescent="0.2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2.75" x14ac:dyDescent="0.2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2.75" x14ac:dyDescent="0.2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2.75" x14ac:dyDescent="0.2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2.75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2.75" x14ac:dyDescent="0.2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2.75" x14ac:dyDescent="0.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2.75" x14ac:dyDescent="0.2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2.75" x14ac:dyDescent="0.2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2.75" x14ac:dyDescent="0.2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2.75" x14ac:dyDescent="0.2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2.75" x14ac:dyDescent="0.2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2.75" x14ac:dyDescent="0.2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2.75" x14ac:dyDescent="0.2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2.75" x14ac:dyDescent="0.2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2.75" x14ac:dyDescent="0.2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2.75" x14ac:dyDescent="0.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2.75" x14ac:dyDescent="0.2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2.75" x14ac:dyDescent="0.2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2.75" x14ac:dyDescent="0.2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2.75" x14ac:dyDescent="0.2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2.75" x14ac:dyDescent="0.2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2.75" x14ac:dyDescent="0.2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2.75" x14ac:dyDescent="0.2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2.75" x14ac:dyDescent="0.2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2.75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2.75" x14ac:dyDescent="0.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2.75" x14ac:dyDescent="0.2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2.75" x14ac:dyDescent="0.2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2.75" x14ac:dyDescent="0.2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2.75" x14ac:dyDescent="0.2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2.75" x14ac:dyDescent="0.2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2.75" x14ac:dyDescent="0.2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2.75" x14ac:dyDescent="0.2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2.75" x14ac:dyDescent="0.2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2.75" x14ac:dyDescent="0.2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2.75" x14ac:dyDescent="0.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2.75" x14ac:dyDescent="0.2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2.75" x14ac:dyDescent="0.2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2.75" x14ac:dyDescent="0.2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2.75" x14ac:dyDescent="0.2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2.75" x14ac:dyDescent="0.2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2.75" x14ac:dyDescent="0.2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2.75" x14ac:dyDescent="0.2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2.75" x14ac:dyDescent="0.2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2.75" x14ac:dyDescent="0.2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2.75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2.75" x14ac:dyDescent="0.2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2.75" x14ac:dyDescent="0.2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2.75" x14ac:dyDescent="0.2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2.75" x14ac:dyDescent="0.2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2.75" x14ac:dyDescent="0.2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2.75" x14ac:dyDescent="0.2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2.75" x14ac:dyDescent="0.2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2.75" x14ac:dyDescent="0.2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2.75" x14ac:dyDescent="0.2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2.75" x14ac:dyDescent="0.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2.75" x14ac:dyDescent="0.2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2.75" x14ac:dyDescent="0.2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2.75" x14ac:dyDescent="0.2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2.75" x14ac:dyDescent="0.2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2.75" x14ac:dyDescent="0.2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2.75" x14ac:dyDescent="0.2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2.75" x14ac:dyDescent="0.2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2.75" x14ac:dyDescent="0.2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2.75" x14ac:dyDescent="0.2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2.75" x14ac:dyDescent="0.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2.75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2.75" x14ac:dyDescent="0.2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2.75" x14ac:dyDescent="0.2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2.75" x14ac:dyDescent="0.2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2.75" x14ac:dyDescent="0.2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2.75" x14ac:dyDescent="0.2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2.75" x14ac:dyDescent="0.2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2.75" x14ac:dyDescent="0.2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2.75" x14ac:dyDescent="0.2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2.75" x14ac:dyDescent="0.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2.75" x14ac:dyDescent="0.2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2.75" x14ac:dyDescent="0.2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2.75" x14ac:dyDescent="0.2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2.75" x14ac:dyDescent="0.2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2.75" x14ac:dyDescent="0.2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2.75" x14ac:dyDescent="0.2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2.75" x14ac:dyDescent="0.2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2.75" x14ac:dyDescent="0.2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2.75" x14ac:dyDescent="0.2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2.75" x14ac:dyDescent="0.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2.75" x14ac:dyDescent="0.2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2.75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2.75" x14ac:dyDescent="0.2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2.75" x14ac:dyDescent="0.2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2.75" x14ac:dyDescent="0.2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2.75" x14ac:dyDescent="0.2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2.75" x14ac:dyDescent="0.2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2.75" x14ac:dyDescent="0.2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2.75" x14ac:dyDescent="0.2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2.75" x14ac:dyDescent="0.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2.75" x14ac:dyDescent="0.2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2.75" x14ac:dyDescent="0.2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2.75" x14ac:dyDescent="0.2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2.75" x14ac:dyDescent="0.2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2.75" x14ac:dyDescent="0.2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2.75" x14ac:dyDescent="0.2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2.75" x14ac:dyDescent="0.2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2.75" x14ac:dyDescent="0.2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2.75" x14ac:dyDescent="0.2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2.75" x14ac:dyDescent="0.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2.75" x14ac:dyDescent="0.2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2.75" x14ac:dyDescent="0.2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2.75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2.75" x14ac:dyDescent="0.2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2.75" x14ac:dyDescent="0.2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2.75" x14ac:dyDescent="0.2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2.75" x14ac:dyDescent="0.2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2.75" x14ac:dyDescent="0.2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2.75" x14ac:dyDescent="0.2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2.75" x14ac:dyDescent="0.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2.75" x14ac:dyDescent="0.2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2.75" x14ac:dyDescent="0.2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2.75" x14ac:dyDescent="0.2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2.75" x14ac:dyDescent="0.2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2.75" x14ac:dyDescent="0.2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2.75" x14ac:dyDescent="0.2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2.75" x14ac:dyDescent="0.2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2.75" x14ac:dyDescent="0.2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2.75" x14ac:dyDescent="0.2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2.75" x14ac:dyDescent="0.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2.75" x14ac:dyDescent="0.2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2.75" x14ac:dyDescent="0.2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2.75" x14ac:dyDescent="0.2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2.75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2.75" x14ac:dyDescent="0.2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2.75" x14ac:dyDescent="0.2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2.75" x14ac:dyDescent="0.2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2.75" x14ac:dyDescent="0.2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2.75" x14ac:dyDescent="0.2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2.75" x14ac:dyDescent="0.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2.75" x14ac:dyDescent="0.2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2.75" x14ac:dyDescent="0.2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2.75" x14ac:dyDescent="0.2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2.75" x14ac:dyDescent="0.2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2.75" x14ac:dyDescent="0.2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2.75" x14ac:dyDescent="0.2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2.75" x14ac:dyDescent="0.2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2.75" x14ac:dyDescent="0.2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2.75" x14ac:dyDescent="0.2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2.75" x14ac:dyDescent="0.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2.75" x14ac:dyDescent="0.2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2.75" x14ac:dyDescent="0.2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2.75" x14ac:dyDescent="0.2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2.75" x14ac:dyDescent="0.2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2.75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2.75" x14ac:dyDescent="0.2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2.75" x14ac:dyDescent="0.2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2.75" x14ac:dyDescent="0.2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2.75" x14ac:dyDescent="0.2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2.75" x14ac:dyDescent="0.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2.75" x14ac:dyDescent="0.2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2.75" x14ac:dyDescent="0.2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2.75" x14ac:dyDescent="0.2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2.75" x14ac:dyDescent="0.2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2.75" x14ac:dyDescent="0.2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2.75" x14ac:dyDescent="0.2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2.75" x14ac:dyDescent="0.2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2.75" x14ac:dyDescent="0.2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2.75" x14ac:dyDescent="0.2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2.75" x14ac:dyDescent="0.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2.75" x14ac:dyDescent="0.2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2.75" x14ac:dyDescent="0.2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2.75" x14ac:dyDescent="0.2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2.75" x14ac:dyDescent="0.2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2.75" x14ac:dyDescent="0.2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2.75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2.75" x14ac:dyDescent="0.2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2.75" x14ac:dyDescent="0.2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2.75" x14ac:dyDescent="0.2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2.75" x14ac:dyDescent="0.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2.75" x14ac:dyDescent="0.2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2.75" x14ac:dyDescent="0.2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2.75" x14ac:dyDescent="0.2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2.75" x14ac:dyDescent="0.2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2.75" x14ac:dyDescent="0.2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2.75" x14ac:dyDescent="0.2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2.75" x14ac:dyDescent="0.2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2.75" x14ac:dyDescent="0.2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2.75" x14ac:dyDescent="0.2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2.75" x14ac:dyDescent="0.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2.75" x14ac:dyDescent="0.2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2.75" x14ac:dyDescent="0.2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2.75" x14ac:dyDescent="0.2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2.75" x14ac:dyDescent="0.2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2.75" x14ac:dyDescent="0.2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2.75" x14ac:dyDescent="0.2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2.75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2.75" x14ac:dyDescent="0.2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2.75" x14ac:dyDescent="0.2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2.75" x14ac:dyDescent="0.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2.75" x14ac:dyDescent="0.2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2.75" x14ac:dyDescent="0.2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2.75" x14ac:dyDescent="0.2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2.75" x14ac:dyDescent="0.2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2.75" x14ac:dyDescent="0.2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2.75" x14ac:dyDescent="0.2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2.75" x14ac:dyDescent="0.2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2.75" x14ac:dyDescent="0.2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2.75" x14ac:dyDescent="0.2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2.75" x14ac:dyDescent="0.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2.75" x14ac:dyDescent="0.2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2.75" x14ac:dyDescent="0.2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2.75" x14ac:dyDescent="0.2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2.75" x14ac:dyDescent="0.2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2.75" x14ac:dyDescent="0.2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2.75" x14ac:dyDescent="0.2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2.75" x14ac:dyDescent="0.2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2.75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2.75" x14ac:dyDescent="0.2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2.75" x14ac:dyDescent="0.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2.75" x14ac:dyDescent="0.2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2.75" x14ac:dyDescent="0.2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2.75" x14ac:dyDescent="0.2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2.75" x14ac:dyDescent="0.2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2.75" x14ac:dyDescent="0.2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2.75" x14ac:dyDescent="0.2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2.75" x14ac:dyDescent="0.2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2.75" x14ac:dyDescent="0.2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2.75" x14ac:dyDescent="0.2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2.75" x14ac:dyDescent="0.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2.75" x14ac:dyDescent="0.2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2.75" x14ac:dyDescent="0.2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2.75" x14ac:dyDescent="0.2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2.75" x14ac:dyDescent="0.2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2.75" x14ac:dyDescent="0.2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2.75" x14ac:dyDescent="0.2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2.75" x14ac:dyDescent="0.2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2.75" x14ac:dyDescent="0.2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2.75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2.75" x14ac:dyDescent="0.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2.75" x14ac:dyDescent="0.2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2.75" x14ac:dyDescent="0.2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2.75" x14ac:dyDescent="0.2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2.75" x14ac:dyDescent="0.2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2.75" x14ac:dyDescent="0.2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2.75" x14ac:dyDescent="0.2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2.75" x14ac:dyDescent="0.2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2.75" x14ac:dyDescent="0.2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2.75" x14ac:dyDescent="0.2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2.75" x14ac:dyDescent="0.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2.75" x14ac:dyDescent="0.2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2.75" x14ac:dyDescent="0.2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2.75" x14ac:dyDescent="0.2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2.75" x14ac:dyDescent="0.2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2.75" x14ac:dyDescent="0.2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2.75" x14ac:dyDescent="0.2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2.75" x14ac:dyDescent="0.2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2.75" x14ac:dyDescent="0.2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2.75" x14ac:dyDescent="0.2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2.75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2.75" x14ac:dyDescent="0.2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2.75" x14ac:dyDescent="0.2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2.75" x14ac:dyDescent="0.2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2.75" x14ac:dyDescent="0.2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2.75" x14ac:dyDescent="0.2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2.75" x14ac:dyDescent="0.2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2.75" x14ac:dyDescent="0.2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2.75" x14ac:dyDescent="0.2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2.75" x14ac:dyDescent="0.2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2.75" x14ac:dyDescent="0.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2.75" x14ac:dyDescent="0.2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2.75" x14ac:dyDescent="0.2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2.75" x14ac:dyDescent="0.2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2.75" x14ac:dyDescent="0.2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2.75" x14ac:dyDescent="0.2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2.75" x14ac:dyDescent="0.2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2.75" x14ac:dyDescent="0.2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2.75" x14ac:dyDescent="0.2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2.75" x14ac:dyDescent="0.2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2.75" x14ac:dyDescent="0.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2.75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2.75" x14ac:dyDescent="0.2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2.75" x14ac:dyDescent="0.2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2.75" x14ac:dyDescent="0.2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2.75" x14ac:dyDescent="0.2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2.75" x14ac:dyDescent="0.2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2.75" x14ac:dyDescent="0.2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2.75" x14ac:dyDescent="0.2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2.75" x14ac:dyDescent="0.2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2.75" x14ac:dyDescent="0.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2.75" x14ac:dyDescent="0.2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2.75" x14ac:dyDescent="0.2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2.75" x14ac:dyDescent="0.2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2.75" x14ac:dyDescent="0.2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2.75" x14ac:dyDescent="0.2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2.75" x14ac:dyDescent="0.2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2.75" x14ac:dyDescent="0.2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2.75" x14ac:dyDescent="0.2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2.75" x14ac:dyDescent="0.2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2.75" x14ac:dyDescent="0.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2.75" x14ac:dyDescent="0.2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2.75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2.75" x14ac:dyDescent="0.2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2.75" x14ac:dyDescent="0.2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2.75" x14ac:dyDescent="0.2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2.75" x14ac:dyDescent="0.2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2.75" x14ac:dyDescent="0.2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2.75" x14ac:dyDescent="0.2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2.75" x14ac:dyDescent="0.2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2.75" x14ac:dyDescent="0.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2.75" x14ac:dyDescent="0.2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2.75" x14ac:dyDescent="0.2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2.75" x14ac:dyDescent="0.2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2.75" x14ac:dyDescent="0.2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2.75" x14ac:dyDescent="0.2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2.75" x14ac:dyDescent="0.2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2.75" x14ac:dyDescent="0.2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2.75" x14ac:dyDescent="0.2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2.75" x14ac:dyDescent="0.2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2.75" x14ac:dyDescent="0.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2.75" x14ac:dyDescent="0.2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2.75" x14ac:dyDescent="0.2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2.75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2.75" x14ac:dyDescent="0.2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2.75" x14ac:dyDescent="0.2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2.75" x14ac:dyDescent="0.2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2.75" x14ac:dyDescent="0.2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2.75" x14ac:dyDescent="0.2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2.75" x14ac:dyDescent="0.2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2.75" x14ac:dyDescent="0.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2.75" x14ac:dyDescent="0.2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2.75" x14ac:dyDescent="0.2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2.75" x14ac:dyDescent="0.2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2.75" x14ac:dyDescent="0.2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2.75" x14ac:dyDescent="0.2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2.75" x14ac:dyDescent="0.2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2.75" x14ac:dyDescent="0.2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2.75" x14ac:dyDescent="0.2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2.75" x14ac:dyDescent="0.2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2.75" x14ac:dyDescent="0.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2.75" x14ac:dyDescent="0.2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2.75" x14ac:dyDescent="0.2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2.75" x14ac:dyDescent="0.2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2.75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2.75" x14ac:dyDescent="0.2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2.75" x14ac:dyDescent="0.2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2.75" x14ac:dyDescent="0.2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2.75" x14ac:dyDescent="0.2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2.75" x14ac:dyDescent="0.2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2.75" x14ac:dyDescent="0.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2.75" x14ac:dyDescent="0.2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2.75" x14ac:dyDescent="0.2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2.75" x14ac:dyDescent="0.2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2.75" x14ac:dyDescent="0.2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2.75" x14ac:dyDescent="0.2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2.75" x14ac:dyDescent="0.2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2.75" x14ac:dyDescent="0.2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2.75" x14ac:dyDescent="0.2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2.75" x14ac:dyDescent="0.2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2.75" x14ac:dyDescent="0.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2.75" x14ac:dyDescent="0.2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2.75" x14ac:dyDescent="0.2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2.75" x14ac:dyDescent="0.2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2.75" x14ac:dyDescent="0.2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2.75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2.75" x14ac:dyDescent="0.2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2.75" x14ac:dyDescent="0.2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2.75" x14ac:dyDescent="0.2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2.75" x14ac:dyDescent="0.2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2.75" x14ac:dyDescent="0.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2.75" x14ac:dyDescent="0.2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2.75" x14ac:dyDescent="0.2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2.75" x14ac:dyDescent="0.2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2.75" x14ac:dyDescent="0.2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2.75" x14ac:dyDescent="0.2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2.75" x14ac:dyDescent="0.2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2.75" x14ac:dyDescent="0.2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2.75" x14ac:dyDescent="0.2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2.75" x14ac:dyDescent="0.2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2.75" x14ac:dyDescent="0.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2.75" x14ac:dyDescent="0.2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2.75" x14ac:dyDescent="0.2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2.75" x14ac:dyDescent="0.2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2.75" x14ac:dyDescent="0.2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2.75" x14ac:dyDescent="0.2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2.75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2.75" x14ac:dyDescent="0.2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2.75" x14ac:dyDescent="0.2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2.75" x14ac:dyDescent="0.2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2.75" x14ac:dyDescent="0.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2.75" x14ac:dyDescent="0.2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2.75" x14ac:dyDescent="0.2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2.75" x14ac:dyDescent="0.2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2.75" x14ac:dyDescent="0.2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2.75" x14ac:dyDescent="0.2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2.75" x14ac:dyDescent="0.2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2.75" x14ac:dyDescent="0.2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2.75" x14ac:dyDescent="0.2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2.75" x14ac:dyDescent="0.2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2.75" x14ac:dyDescent="0.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2.75" x14ac:dyDescent="0.2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2.75" x14ac:dyDescent="0.2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2.75" x14ac:dyDescent="0.2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2.75" x14ac:dyDescent="0.2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2.75" x14ac:dyDescent="0.2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2.75" x14ac:dyDescent="0.2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Y1000"/>
  <sheetViews>
    <sheetView workbookViewId="0">
      <selection sqref="A1:XFD1"/>
    </sheetView>
  </sheetViews>
  <sheetFormatPr defaultColWidth="14.42578125" defaultRowHeight="15.75" customHeight="1" x14ac:dyDescent="0.2"/>
  <cols>
    <col min="1" max="1" width="10.5703125" style="2" customWidth="1"/>
    <col min="2" max="2" width="21.85546875" style="2" customWidth="1"/>
    <col min="3" max="3" width="61.42578125" style="2" customWidth="1"/>
    <col min="4" max="4" width="21" style="2" customWidth="1"/>
    <col min="5" max="5" width="16.28515625" style="2" customWidth="1"/>
    <col min="6" max="6" width="16.42578125" style="2" customWidth="1"/>
    <col min="7" max="16384" width="14.42578125" style="2"/>
  </cols>
  <sheetData>
    <row r="1" spans="1:25" s="48" customFormat="1" ht="12.75" x14ac:dyDescent="0.2">
      <c r="A1" s="51" t="s">
        <v>325</v>
      </c>
      <c r="B1" s="51" t="s">
        <v>326</v>
      </c>
      <c r="C1" s="51" t="s">
        <v>327</v>
      </c>
      <c r="D1" s="51" t="s">
        <v>328</v>
      </c>
      <c r="E1" s="51" t="s">
        <v>329</v>
      </c>
      <c r="F1" s="51" t="s">
        <v>330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 spans="1:25" ht="15.75" customHeight="1" x14ac:dyDescent="0.2">
      <c r="A2" s="12"/>
      <c r="B2" s="11"/>
      <c r="C2" s="12"/>
      <c r="D2" s="12"/>
      <c r="E2" s="12"/>
      <c r="F2" s="12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5.75" customHeight="1" x14ac:dyDescent="0.2">
      <c r="A3" s="12"/>
      <c r="B3" s="12"/>
      <c r="C3" s="12"/>
      <c r="D3" s="12"/>
      <c r="E3" s="12"/>
      <c r="F3" s="12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5.75" customHeight="1" x14ac:dyDescent="0.2">
      <c r="A4" s="12"/>
      <c r="B4" s="12"/>
      <c r="C4" s="12"/>
      <c r="D4" s="12"/>
      <c r="E4" s="12"/>
      <c r="F4" s="1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5.75" customHeight="1" x14ac:dyDescent="0.2">
      <c r="A5" s="12"/>
      <c r="B5" s="12"/>
      <c r="C5" s="12"/>
      <c r="D5" s="12"/>
      <c r="E5" s="12"/>
      <c r="F5" s="12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5.75" customHeight="1" x14ac:dyDescent="0.2">
      <c r="A6" s="12"/>
      <c r="B6" s="12"/>
      <c r="C6" s="12"/>
      <c r="D6" s="12"/>
      <c r="E6" s="12"/>
      <c r="F6" s="12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5.75" customHeight="1" x14ac:dyDescent="0.2">
      <c r="A7" s="12"/>
      <c r="B7" s="12"/>
      <c r="C7" s="12"/>
      <c r="D7" s="12"/>
      <c r="E7" s="12"/>
      <c r="F7" s="12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5.75" customHeight="1" x14ac:dyDescent="0.2">
      <c r="A8" s="12"/>
      <c r="B8" s="12"/>
      <c r="C8" s="12"/>
      <c r="D8" s="12"/>
      <c r="E8" s="12"/>
      <c r="F8" s="12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5.75" customHeight="1" x14ac:dyDescent="0.2">
      <c r="A9" s="12"/>
      <c r="B9" s="12"/>
      <c r="C9" s="12"/>
      <c r="D9" s="12"/>
      <c r="E9" s="12"/>
      <c r="F9" s="12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15.75" customHeight="1" x14ac:dyDescent="0.2">
      <c r="A10" s="12"/>
      <c r="B10" s="12"/>
      <c r="C10" s="12"/>
      <c r="D10" s="12"/>
      <c r="E10" s="12"/>
      <c r="F10" s="12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15.75" customHeight="1" x14ac:dyDescent="0.2">
      <c r="A11" s="12"/>
      <c r="B11" s="12"/>
      <c r="C11" s="12"/>
      <c r="D11" s="12"/>
      <c r="E11" s="12"/>
      <c r="F11" s="12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15.75" customHeight="1" x14ac:dyDescent="0.2">
      <c r="A12" s="12"/>
      <c r="B12" s="12"/>
      <c r="C12" s="12"/>
      <c r="D12" s="12"/>
      <c r="E12" s="12"/>
      <c r="F12" s="1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15.75" customHeight="1" x14ac:dyDescent="0.2">
      <c r="A13" s="12"/>
      <c r="B13" s="12"/>
      <c r="C13" s="12"/>
      <c r="D13" s="12"/>
      <c r="E13" s="12"/>
      <c r="F13" s="12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15.75" customHeight="1" x14ac:dyDescent="0.2">
      <c r="A14" s="12"/>
      <c r="B14" s="12"/>
      <c r="C14" s="12"/>
      <c r="D14" s="12"/>
      <c r="E14" s="12"/>
      <c r="F14" s="12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15.75" customHeight="1" x14ac:dyDescent="0.2">
      <c r="A15" s="12"/>
      <c r="B15" s="12"/>
      <c r="C15" s="12"/>
      <c r="D15" s="12"/>
      <c r="E15" s="12"/>
      <c r="F15" s="12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15.75" customHeight="1" x14ac:dyDescent="0.2">
      <c r="A16" s="12"/>
      <c r="B16" s="12"/>
      <c r="C16" s="12"/>
      <c r="D16" s="12"/>
      <c r="E16" s="12"/>
      <c r="F16" s="12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15.7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ht="15.7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</row>
    <row r="19" spans="1:25" ht="15.75" customHeight="1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</row>
    <row r="20" spans="1:25" ht="15.75" customHeight="1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</row>
    <row r="21" spans="1:25" ht="15.75" customHeight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</row>
    <row r="22" spans="1:25" ht="12.75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25" ht="12.75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</row>
    <row r="24" spans="1:25" ht="12.75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 spans="1:25" ht="12.75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</row>
    <row r="26" spans="1:25" ht="12.75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2.75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2.75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2.75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2.75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2.75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2.75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1:25" ht="12.75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1:25" ht="12.75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1:25" ht="12.75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1:25" ht="12.75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2.75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2.75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2.75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2.75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2.75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2.75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2.75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2.75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2.75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2.75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2.75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2.75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2.7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2.75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2.75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2.75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ht="12.75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ht="12.75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ht="12.75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</row>
    <row r="57" spans="1:25" ht="12.75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ht="12.75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ht="12.75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ht="12.75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ht="12.75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ht="12.75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ht="12.75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ht="12.75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ht="12.75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12.75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2.75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ht="12.75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ht="12.75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12.75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ht="12.75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2.75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ht="12.75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2.75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ht="12.75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12.75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ht="12.75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2.75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12.75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ht="12.75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ht="12.75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ht="12.75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ht="12.7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ht="12.75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ht="12.75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ht="12.75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ht="12.75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ht="12.75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ht="12.75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12.75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ht="12.75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ht="12.75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ht="12.75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2.75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ht="12.75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ht="12.75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ht="12.75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ht="12.75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ht="12.75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ht="12.75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ht="12.75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ht="12.75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ht="12.75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ht="12.75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ht="12.75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ht="12.75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ht="12.75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ht="12.75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ht="12.75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2.75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12.75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ht="12.75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ht="12.75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ht="12.75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ht="12.75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ht="12.75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ht="12.75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ht="12.75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ht="12.75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ht="12.75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ht="12.75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ht="12.75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ht="12.75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ht="12.75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ht="12.75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2.75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ht="12.75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ht="12.75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ht="12.75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ht="12.75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12.75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ht="12.75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ht="12.75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12.75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2.75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ht="12.75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12.75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ht="12.75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2.75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ht="12.75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ht="12.75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2.75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ht="12.75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ht="12.75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ht="12.75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ht="12.75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ht="12.75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2.75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2.75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2.75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12.75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2.75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2.75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2.75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2.75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2.75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2.75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2.75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2.75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2.75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2.75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2.75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2.75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2.75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2.75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2.75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2.75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2.75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2.75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2.75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2.75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2.75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2.75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2.75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2.75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2.75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ht="12.75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ht="12.75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2.75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ht="12.75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12.75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ht="12.75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12.75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ht="12.75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ht="12.75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ht="12.75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ht="12.75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ht="12.75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2.75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12.75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ht="12.75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ht="12.75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ht="12.75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ht="12.75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ht="12.75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ht="12.75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ht="12.75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ht="12.75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12.75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ht="12.75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ht="12.75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ht="12.75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ht="12.75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ht="12.75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2.75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ht="12.75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ht="12.75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ht="12.75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ht="12.75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ht="12.75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ht="12.75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ht="12.75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ht="12.75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ht="12.75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ht="12.75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ht="12.75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ht="12.75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ht="12.75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ht="12.75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ht="12.75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ht="12.75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ht="12.75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ht="12.75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ht="12.75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ht="12.75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ht="12.75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ht="12.75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ht="12.75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ht="12.75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ht="12.75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ht="12.75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ht="12.75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ht="12.75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ht="12.75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ht="12.75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ht="12.75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ht="12.75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ht="12.75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ht="12.75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ht="12.75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ht="12.75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ht="12.75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ht="12.75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ht="12.75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ht="12.75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ht="12.75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ht="12.75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ht="12.75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ht="12.75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ht="12.75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ht="12.75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ht="12.75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ht="12.75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ht="12.75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ht="12.75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ht="12.75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ht="12.75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ht="12.75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ht="12.75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ht="12.75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ht="12.75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ht="12.75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ht="12.75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ht="12.75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ht="12.75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ht="12.75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ht="12.75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ht="12.75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ht="12.75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ht="12.75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ht="12.75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ht="12.75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ht="12.75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ht="12.75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ht="12.75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ht="12.75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ht="12.75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ht="12.75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ht="12.75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ht="12.75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ht="12.75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ht="12.75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ht="12.75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ht="12.75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ht="12.75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ht="12.75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ht="12.75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ht="12.75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ht="12.75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ht="12.75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ht="12.75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ht="12.75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ht="12.75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ht="12.75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ht="12.75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ht="12.75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ht="12.75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ht="12.75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ht="12.75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ht="12.75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ht="12.75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ht="12.75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ht="12.75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ht="12.75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ht="12.75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ht="12.75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ht="12.75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ht="12.75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ht="12.75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ht="12.75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ht="12.75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ht="12.75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ht="12.75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ht="12.75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ht="12.75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ht="12.75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ht="12.75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ht="12.75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ht="12.75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ht="12.75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ht="12.75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ht="12.75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ht="12.75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ht="12.75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ht="12.75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ht="12.75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ht="12.75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ht="12.75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ht="12.75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ht="12.75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ht="12.75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ht="12.75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ht="12.75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ht="12.75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ht="12.75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ht="12.75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ht="12.75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ht="12.75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ht="12.75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ht="12.75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ht="12.75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ht="12.75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ht="12.75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ht="12.75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ht="12.75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ht="12.75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ht="12.75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ht="12.75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ht="12.75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ht="12.75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ht="12.75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ht="12.75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ht="12.75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ht="12.75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ht="12.75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ht="12.75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ht="12.75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ht="12.75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spans="1:25" ht="12.75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ht="12.75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ht="12.75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ht="12.75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ht="12.75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ht="12.75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ht="12.75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ht="12.75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ht="12.75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ht="12.75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ht="12.75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ht="12.75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ht="12.75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ht="12.75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ht="12.75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ht="12.75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ht="12.75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ht="12.75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ht="12.75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ht="12.75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ht="12.75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ht="12.75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ht="12.75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ht="12.75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ht="12.75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ht="12.75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ht="12.75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ht="12.75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ht="12.75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ht="12.75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ht="12.75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ht="12.75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ht="12.75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ht="12.75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ht="12.75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ht="12.75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ht="12.75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ht="12.75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ht="12.75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ht="12.75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ht="12.75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ht="12.75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ht="12.75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ht="12.75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ht="12.75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ht="12.75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ht="12.75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ht="12.75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spans="1:25" ht="12.75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ht="12.75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ht="12.75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ht="12.75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ht="12.75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ht="12.75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ht="12.75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ht="12.75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ht="12.75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ht="12.75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ht="12.75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ht="12.75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ht="12.75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ht="12.75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ht="12.75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ht="12.75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ht="12.75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ht="12.75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ht="12.75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ht="12.75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ht="12.75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ht="12.75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ht="12.75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ht="12.75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ht="12.75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ht="12.75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ht="12.75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ht="12.75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ht="12.75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ht="12.75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ht="12.75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ht="12.75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ht="12.75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ht="12.75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ht="12.75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ht="12.75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ht="12.75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ht="12.75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ht="12.75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ht="12.75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ht="12.75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ht="12.75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ht="12.75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ht="12.75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ht="12.75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ht="12.75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ht="12.75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ht="12.75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ht="12.75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ht="12.75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ht="12.75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ht="12.75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ht="12.75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ht="12.75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ht="12.75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ht="12.75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ht="12.75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ht="12.75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ht="12.75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ht="12.75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ht="12.75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ht="12.75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ht="12.75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ht="12.75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ht="12.75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ht="12.75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ht="12.75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ht="12.75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ht="12.75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ht="12.75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ht="12.75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ht="12.75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ht="12.75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ht="12.75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ht="12.75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ht="12.75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ht="12.75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ht="12.75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ht="12.75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ht="12.75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ht="12.75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ht="12.75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ht="12.75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ht="12.75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ht="12.75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ht="12.75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ht="12.75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ht="12.75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ht="12.75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ht="12.75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ht="12.75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ht="12.75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ht="12.75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ht="12.75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ht="12.75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ht="12.75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ht="12.75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ht="12.75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ht="12.75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ht="12.75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ht="12.75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ht="12.75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ht="12.75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ht="12.75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ht="12.75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ht="12.75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ht="12.75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ht="12.75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ht="12.75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ht="12.75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ht="12.75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ht="12.75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ht="12.75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ht="12.75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ht="12.75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ht="12.75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ht="12.75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ht="12.75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ht="12.75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ht="12.75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ht="12.75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ht="12.75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ht="12.75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ht="12.75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ht="12.75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ht="12.75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ht="12.75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ht="12.75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ht="12.75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ht="12.75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ht="12.75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ht="12.75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ht="12.75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ht="12.75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ht="12.75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ht="12.75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ht="12.75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ht="12.75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ht="12.75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ht="12.75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ht="12.75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ht="12.75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ht="12.75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ht="12.75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ht="12.75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ht="12.75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ht="12.75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ht="12.75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ht="12.75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ht="12.75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ht="12.75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ht="12.75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ht="12.75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ht="12.75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ht="12.75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ht="12.75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ht="12.75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ht="12.75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ht="12.75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ht="12.75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ht="12.75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ht="12.75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ht="12.75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ht="12.75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ht="12.75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ht="12.75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ht="12.75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ht="12.75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ht="12.75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ht="12.75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ht="12.75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ht="12.75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ht="12.75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ht="12.75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ht="12.75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ht="12.75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ht="12.75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ht="12.75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ht="12.75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ht="12.75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ht="12.75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ht="12.75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ht="12.75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ht="12.75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ht="12.75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ht="12.75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ht="12.75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ht="12.75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ht="12.75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ht="12.75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ht="12.75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ht="12.75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ht="12.75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ht="12.75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ht="12.75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ht="12.75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ht="12.75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ht="12.75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ht="12.75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ht="12.75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ht="12.75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ht="12.75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ht="12.75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ht="12.75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ht="12.75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ht="12.75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ht="12.75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ht="12.75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ht="12.75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ht="12.75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ht="12.75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ht="12.75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ht="12.75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ht="12.75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ht="12.75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ht="12.75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ht="12.75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ht="12.75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ht="12.75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ht="12.75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ht="12.75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ht="12.75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ht="12.75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ht="12.75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ht="12.75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ht="12.75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ht="12.75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ht="12.75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ht="12.75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ht="12.75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ht="12.75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ht="12.75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ht="12.75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ht="12.75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ht="12.75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ht="12.75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ht="12.75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ht="12.75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ht="12.75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ht="12.75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ht="12.75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ht="12.75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ht="12.75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ht="12.75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ht="12.75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ht="12.75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ht="12.75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ht="12.75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ht="12.75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ht="12.75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ht="12.75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ht="12.75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ht="12.75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ht="12.75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ht="12.75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ht="12.75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ht="12.75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ht="12.75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ht="12.75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ht="12.75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ht="12.75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ht="12.75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ht="12.75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ht="12.75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ht="12.75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ht="12.75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ht="12.75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ht="12.75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ht="12.75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ht="12.75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ht="12.75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ht="12.75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ht="12.75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ht="12.75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ht="12.75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ht="12.75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ht="12.75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ht="12.75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ht="12.75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ht="12.75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ht="12.75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ht="12.75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ht="12.75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ht="12.75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ht="12.75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ht="12.75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ht="12.75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ht="12.75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ht="12.75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ht="12.75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ht="12.75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ht="12.75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ht="12.75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ht="12.75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ht="12.75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ht="12.75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ht="12.75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ht="12.75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ht="12.75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ht="12.75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ht="12.75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ht="12.75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ht="12.75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ht="12.75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ht="12.75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ht="12.75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ht="12.75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ht="12.75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ht="12.75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ht="12.75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ht="12.75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ht="12.75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ht="12.75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ht="12.75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ht="12.75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ht="12.75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ht="12.75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ht="12.75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ht="12.75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ht="12.75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ht="12.75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ht="12.75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ht="12.75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ht="12.75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ht="12.75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ht="12.75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ht="12.75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ht="12.75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ht="12.75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ht="12.75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ht="12.75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ht="12.75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ht="12.75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ht="12.75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ht="12.75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ht="12.75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ht="12.75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ht="12.75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ht="12.75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ht="12.75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ht="12.75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ht="12.75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ht="12.75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ht="12.75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ht="12.75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ht="12.75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ht="12.75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ht="12.75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ht="12.75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ht="12.75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ht="12.75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ht="12.75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ht="12.75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ht="12.75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ht="12.75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ht="12.75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ht="12.75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ht="12.75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ht="12.75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ht="12.75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ht="12.75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ht="12.75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ht="12.75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ht="12.75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ht="12.75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ht="12.75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ht="12.75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ht="12.75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ht="12.75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ht="12.75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ht="12.75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ht="12.75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ht="12.75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ht="12.75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ht="12.75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ht="12.75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ht="12.75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ht="12.75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ht="12.75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ht="12.75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ht="12.75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ht="12.75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ht="12.75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ht="12.75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ht="12.75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ht="12.75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ht="12.75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ht="12.75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ht="12.75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ht="12.75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ht="12.75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ht="12.75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ht="12.75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ht="12.75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ht="12.75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ht="12.75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ht="12.75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ht="12.75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ht="12.75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ht="12.75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ht="12.75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ht="12.75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ht="12.75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ht="12.75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ht="12.75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ht="12.75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ht="12.75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ht="12.75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ht="12.75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ht="12.75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ht="12.75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ht="12.75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ht="12.75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ht="12.75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ht="12.75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ht="12.75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ht="12.75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ht="12.75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ht="12.75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ht="12.75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ht="12.75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ht="12.75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ht="12.75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ht="12.75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ht="12.75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ht="12.75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ht="12.75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ht="12.75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ht="12.75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ht="12.75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ht="12.75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ht="12.75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ht="12.75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ht="12.75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ht="12.75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ht="12.75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ht="12.75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ht="12.75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ht="12.75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ht="12.75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ht="12.75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ht="12.75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ht="12.75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ht="12.75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ht="12.75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ht="12.75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ht="12.75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ht="12.75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ht="12.75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ht="12.75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ht="12.75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ht="12.75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ht="12.75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ht="12.75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ht="12.75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ht="12.75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ht="12.75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ht="12.75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ht="12.75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ht="12.75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ht="12.75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ht="12.75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ht="12.75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ht="12.75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ht="12.75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ht="12.75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ht="12.75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ht="12.75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ht="12.75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ht="12.75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ht="12.75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ht="12.75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ht="12.75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ht="12.75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ht="12.75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ht="12.75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ht="12.75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ht="12.75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ht="12.75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ht="12.75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ht="12.75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ht="12.75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ht="12.75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ht="12.75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ht="12.75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ht="12.75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ht="12.75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ht="12.75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ht="12.75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ht="12.75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ht="12.75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ht="12.75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ht="12.75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ht="12.75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ht="12.75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ht="12.75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ht="12.75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ht="12.75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ht="12.75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ht="12.75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ht="12.75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ht="12.75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ht="12.75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ht="12.75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ht="12.75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ht="12.75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ht="12.75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ht="12.75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ht="12.75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ht="12.75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ht="12.75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ht="12.75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ht="12.75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ht="12.75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ht="12.75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ht="12.75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ht="12.75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ht="12.75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ht="12.75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ht="12.75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ht="12.75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ht="12.75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ht="12.75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ht="12.75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ht="12.75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ht="12.75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ht="12.75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ht="12.75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ht="12.75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ht="12.75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ht="12.75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ht="12.75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ht="12.75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ht="12.75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ht="12.75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ht="12.75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ht="12.75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ht="12.75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ht="12.75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ht="12.75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ht="12.75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ht="12.75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ht="12.75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ht="12.75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ht="12.75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ht="12.75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ht="12.75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ht="12.75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ht="12.75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ht="12.75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ht="12.75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ht="12.75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ht="12.75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ht="12.75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ht="12.75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ht="12.75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ht="12.75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ht="12.75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ht="12.75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ht="12.75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ht="12.75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ht="12.75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ht="12.75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ht="12.75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ht="12.75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ht="12.75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ht="12.75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ht="12.75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ht="12.75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ht="12.75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ht="12.75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ht="12.75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ht="12.75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ht="12.75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ht="12.75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ht="12.75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ht="12.75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ht="12.75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ht="12.75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ht="12.75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ht="12.75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ht="12.75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ht="12.75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ht="12.75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ht="12.75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ht="12.75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ht="12.75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ht="12.75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spans="1:25" ht="12.75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dataValidations count="15">
    <dataValidation type="list" sqref="B2">
      <formula1>"Not Drafted,In Draft,In Review,Pending Approvals,Approved,Rejected,Closed"</formula1>
    </dataValidation>
    <dataValidation type="list" sqref="B3">
      <formula1>"Not Drafted,In Draft,In Review,Pending Approvals,Approved,Rejected,Closed"</formula1>
    </dataValidation>
    <dataValidation type="list" sqref="B4">
      <formula1>"Not Drafted,In Draft,In Review,Pending Approvals,Approved,Rejected,Closed"</formula1>
    </dataValidation>
    <dataValidation type="list" sqref="B5">
      <formula1>"Not Drafted,In Draft,In Review,Pending Approvals,Approved,Rejected,Closed"</formula1>
    </dataValidation>
    <dataValidation type="list" sqref="B6">
      <formula1>"Not Drafted,In Draft,In Review,Pending Approvals,Approved,Rejected,Closed"</formula1>
    </dataValidation>
    <dataValidation type="list" sqref="B7">
      <formula1>"Not Drafted,In Draft,In Review,Pending Approvals,Approved,Rejected,Closed"</formula1>
    </dataValidation>
    <dataValidation type="list" sqref="B8">
      <formula1>"Not Drafted,In Draft,In Review,Pending Approvals,Approved,Rejected,Closed"</formula1>
    </dataValidation>
    <dataValidation type="list" sqref="B9">
      <formula1>"Not Drafted,In Draft,In Review,Pending Approvals,Approved,Rejected,Closed"</formula1>
    </dataValidation>
    <dataValidation type="list" sqref="B10">
      <formula1>"Not Drafted,In Draft,In Review,Pending Approvals,Approved,Rejected,Closed"</formula1>
    </dataValidation>
    <dataValidation type="list" sqref="B11">
      <formula1>"Not Drafted,In Draft,In Review,Pending Approvals,Approved,Rejected,Closed"</formula1>
    </dataValidation>
    <dataValidation type="list" sqref="B12">
      <formula1>"Not Drafted,In Draft,In Review,Pending Approvals,Approved,Rejected,Closed"</formula1>
    </dataValidation>
    <dataValidation type="list" sqref="B13">
      <formula1>"Not Drafted,In Draft,In Review,Pending Approvals,Approved,Rejected,Closed"</formula1>
    </dataValidation>
    <dataValidation type="list" sqref="B14">
      <formula1>"Not Drafted,In Draft,In Review,Pending Approvals,Approved,Rejected,Closed"</formula1>
    </dataValidation>
    <dataValidation type="list" sqref="B15">
      <formula1>"Not Drafted,In Draft,In Review,Pending Approvals,Approved,Rejected,Closed"</formula1>
    </dataValidation>
    <dataValidation type="list" sqref="B16">
      <formula1>"Not Drafted,In Draft,In Review,Pending Approvals,Approved,Rejected,Closed"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J24"/>
  <sheetViews>
    <sheetView workbookViewId="0">
      <selection sqref="A1:XFD1"/>
    </sheetView>
  </sheetViews>
  <sheetFormatPr defaultColWidth="14.42578125" defaultRowHeight="15.75" customHeight="1" x14ac:dyDescent="0.2"/>
  <cols>
    <col min="1" max="1" width="4.140625" style="2" bestFit="1" customWidth="1"/>
    <col min="2" max="2" width="13.5703125" style="2" customWidth="1"/>
    <col min="3" max="3" width="9.85546875" style="2" customWidth="1"/>
    <col min="4" max="4" width="11.28515625" style="2" bestFit="1" customWidth="1"/>
    <col min="5" max="5" width="15.85546875" style="2" bestFit="1" customWidth="1"/>
    <col min="6" max="6" width="14.28515625" style="2" customWidth="1"/>
    <col min="7" max="7" width="15.28515625" style="2" customWidth="1"/>
    <col min="8" max="8" width="15.140625" style="2" customWidth="1"/>
    <col min="9" max="9" width="25.7109375" style="2" bestFit="1" customWidth="1"/>
    <col min="10" max="10" width="19.42578125" style="2" bestFit="1" customWidth="1"/>
    <col min="11" max="11" width="16.42578125" style="2" customWidth="1"/>
    <col min="12" max="12" width="13.85546875" style="2" customWidth="1"/>
    <col min="13" max="16384" width="14.42578125" style="2"/>
  </cols>
  <sheetData>
    <row r="1" spans="1:10" s="35" customFormat="1" ht="25.5" x14ac:dyDescent="0.2">
      <c r="A1" s="46" t="s">
        <v>331</v>
      </c>
      <c r="B1" s="46" t="s">
        <v>332</v>
      </c>
      <c r="C1" s="52" t="s">
        <v>333</v>
      </c>
      <c r="D1" s="52" t="s">
        <v>334</v>
      </c>
      <c r="E1" s="52" t="s">
        <v>335</v>
      </c>
      <c r="F1" s="46" t="s">
        <v>336</v>
      </c>
      <c r="G1" s="46" t="s">
        <v>337</v>
      </c>
      <c r="H1" s="52" t="s">
        <v>338</v>
      </c>
      <c r="I1" s="52" t="s">
        <v>339</v>
      </c>
      <c r="J1" s="52" t="s">
        <v>340</v>
      </c>
    </row>
    <row r="2" spans="1:10" ht="15.7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15.75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ht="15.7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ht="15.7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ht="15.75" customHeight="1" x14ac:dyDescent="0.2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ht="15.75" customHeight="1" x14ac:dyDescent="0.2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15.75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ht="15.75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ht="15.75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ht="15.75" customHeight="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5.75" customHeight="1" x14ac:dyDescent="0.2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15.75" customHeight="1" x14ac:dyDescent="0.2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ht="15.7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15.75" customHeight="1" x14ac:dyDescent="0.2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15.75" customHeight="1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15.75" customHeight="1" x14ac:dyDescent="0.2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ht="15.75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ht="15.75" customHeight="1" x14ac:dyDescent="0.2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ht="15.75" customHeight="1" x14ac:dyDescent="0.2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ht="15.75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12.75" x14ac:dyDescent="0.2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4" spans="1:10" ht="12.75" x14ac:dyDescent="0.2">
      <c r="B24" s="34" t="str">
        <f>HYPERLINK(" https://docs.google.com/a/modeln.com/spreadsheets/d/1mOLA-c74eqLPehmrQDw00T0u34wrkWBmrAEwfonV9Vo/edit?pli=1#gid=0","Model N Lessons Learned should be logged here")</f>
        <v>Model N Lessons Learned should be logged here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</vt:i4>
      </vt:variant>
    </vt:vector>
  </HeadingPairs>
  <TitlesOfParts>
    <vt:vector size="23" baseType="lpstr">
      <vt:lpstr>Overview</vt:lpstr>
      <vt:lpstr>Status</vt:lpstr>
      <vt:lpstr>Milestones</vt:lpstr>
      <vt:lpstr>Contacts</vt:lpstr>
      <vt:lpstr>RAID</vt:lpstr>
      <vt:lpstr>Gantt</vt:lpstr>
      <vt:lpstr>Product Backlog</vt:lpstr>
      <vt:lpstr>Delv Tracker</vt:lpstr>
      <vt:lpstr>FDS Tracker</vt:lpstr>
      <vt:lpstr>Test Scr. Tracker</vt:lpstr>
      <vt:lpstr>Price Type Tracker</vt:lpstr>
      <vt:lpstr>Blank Tracker</vt:lpstr>
      <vt:lpstr>Wksp Gantt</vt:lpstr>
      <vt:lpstr>Int. Matrix</vt:lpstr>
      <vt:lpstr>List</vt:lpstr>
      <vt:lpstr>Instructions</vt:lpstr>
      <vt:lpstr>Logistics</vt:lpstr>
      <vt:lpstr>Communiction</vt:lpstr>
      <vt:lpstr>CCR Summary</vt:lpstr>
      <vt:lpstr>Lessons Learned</vt:lpstr>
      <vt:lpstr>'Int. Matrix'!Print_Area</vt:lpstr>
      <vt:lpstr>Status</vt:lpstr>
      <vt:lpstr>Tracking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Rubino</dc:creator>
  <cp:lastModifiedBy>Michael Richard</cp:lastModifiedBy>
  <dcterms:created xsi:type="dcterms:W3CDTF">2014-11-24T01:37:53Z</dcterms:created>
  <dcterms:modified xsi:type="dcterms:W3CDTF">2018-02-27T18:53:30Z</dcterms:modified>
</cp:coreProperties>
</file>