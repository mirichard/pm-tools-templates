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9980" windowHeight="8070"/>
  </bookViews>
  <sheets>
    <sheet name="Raw Data" sheetId="12" r:id="rId1"/>
    <sheet name="Planning Flow" sheetId="10" r:id="rId2"/>
    <sheet name="Release Cadence" sheetId="9" r:id="rId3"/>
    <sheet name="Data Staging_Systems" sheetId="14" r:id="rId4"/>
    <sheet name="Data Staging_Resources" sheetId="11" r:id="rId5"/>
    <sheet name="Data Staging_Risk" sheetId="18" r:id="rId6"/>
  </sheets>
  <externalReferences>
    <externalReference r:id="rId7"/>
    <externalReference r:id="rId8"/>
    <externalReference r:id="rId9"/>
  </externalReferences>
  <definedNames>
    <definedName name="_xlnm._FilterDatabase" localSheetId="4" hidden="1">'Data Staging_Resources'!$A$3:$Y$6</definedName>
    <definedName name="_xlnm._FilterDatabase" localSheetId="5" hidden="1">'Data Staging_Risk'!$A$4:$P$11</definedName>
    <definedName name="_xlnm._FilterDatabase" localSheetId="3" hidden="1">'Data Staging_Systems'!$A$3:$S$6</definedName>
    <definedName name="_xlnm._FilterDatabase" localSheetId="1" hidden="1">'Planning Flow'!$A$3:$R$6</definedName>
    <definedName name="_xlnm._FilterDatabase" localSheetId="0" hidden="1">'Raw Data'!$A$3:$AO$6</definedName>
    <definedName name="_xlnm._FilterDatabase" localSheetId="2" hidden="1">'Release Cadence'!$K$3:$L$29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39580.8490625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  <definedName name="IRR" localSheetId="4">#REF!</definedName>
    <definedName name="IRR" localSheetId="5">#REF!</definedName>
    <definedName name="IRR" localSheetId="3">#REF!</definedName>
    <definedName name="IRR" localSheetId="1">#REF!</definedName>
    <definedName name="IRR" localSheetId="0">#REF!</definedName>
    <definedName name="IRR">#REF!</definedName>
    <definedName name="Objects">OFFSET([1]Import!$A$2,0,0,2000,1)</definedName>
    <definedName name="PayBack" localSheetId="4">#REF!</definedName>
    <definedName name="PayBack" localSheetId="5">#REF!</definedName>
    <definedName name="PayBack" localSheetId="3">#REF!</definedName>
    <definedName name="PayBack" localSheetId="1">#REF!</definedName>
    <definedName name="PayBack" localSheetId="0">#REF!</definedName>
    <definedName name="PayBack">#REF!</definedName>
    <definedName name="PJ_End_Date" localSheetId="4">#REF!</definedName>
    <definedName name="PJ_End_Date" localSheetId="5">#REF!</definedName>
    <definedName name="PJ_End_Date" localSheetId="3">#REF!</definedName>
    <definedName name="PJ_End_Date" localSheetId="1">#REF!</definedName>
    <definedName name="PJ_End_Date" localSheetId="0">#REF!</definedName>
    <definedName name="PJ_End_Date">#REF!</definedName>
    <definedName name="PJ_Start_Date" localSheetId="4">#REF!</definedName>
    <definedName name="PJ_Start_Date" localSheetId="5">#REF!</definedName>
    <definedName name="PJ_Start_Date" localSheetId="3">#REF!</definedName>
    <definedName name="PJ_Start_Date" localSheetId="1">#REF!</definedName>
    <definedName name="PJ_Start_Date" localSheetId="0">#REF!</definedName>
    <definedName name="PJ_Start_Date">#REF!</definedName>
    <definedName name="PV_EVA" localSheetId="4">#REF!</definedName>
    <definedName name="PV_EVA" localSheetId="5">#REF!</definedName>
    <definedName name="PV_EVA" localSheetId="3">#REF!</definedName>
    <definedName name="PV_EVA" localSheetId="1">#REF!</definedName>
    <definedName name="PV_EVA" localSheetId="0">#REF!</definedName>
    <definedName name="PV_EVA">#REF!</definedName>
    <definedName name="RiskCriteria2">'[1]1_Business_Case'!$B$157</definedName>
    <definedName name="RiskCriteria3">'[1]1_Business_Case'!$B$158</definedName>
    <definedName name="RiskCriteria4">'[1]1_Business_Case'!$B$159</definedName>
    <definedName name="RiskCriteria5">'[1]1_Business_Case'!$B$160</definedName>
    <definedName name="RiskCriteria6">'[1]1_Business_Case'!$B$161</definedName>
    <definedName name="RiskCriteria7">'[1]1_Business_Case'!$B$162</definedName>
    <definedName name="Select_Type_of_Application_Impact">[2]Setting_IT!$F$2:$F$11</definedName>
    <definedName name="Total_Costs" localSheetId="4">#REF!</definedName>
    <definedName name="Total_Costs" localSheetId="5">#REF!</definedName>
    <definedName name="Total_Costs" localSheetId="3">#REF!</definedName>
    <definedName name="Total_Costs" localSheetId="1">#REF!</definedName>
    <definedName name="Total_Costs" localSheetId="0">#REF!</definedName>
    <definedName name="Total_Costs">#REF!</definedName>
    <definedName name="ValueCriteria4">'[1]1_Business_Case'!$B$141</definedName>
    <definedName name="ValueCriteria5">'[1]1_Business_Case'!$B$142</definedName>
    <definedName name="ValueCriteria6">'[1]1_Business_Case'!$B$143</definedName>
    <definedName name="ValueCriteria7">'[1]1_Business_Case'!$B$144</definedName>
    <definedName name="ValueCriteria8">'[1]1_Business_Case'!$B$145</definedName>
    <definedName name="VP">'[3]S.4 Demo - Data Validation'!$D$278:$D$288</definedName>
  </definedNames>
  <calcPr calcId="145621" calcOnSave="0"/>
  <pivotCaches>
    <pivotCache cacheId="0" r:id="rId10"/>
  </pivotCaches>
</workbook>
</file>

<file path=xl/calcChain.xml><?xml version="1.0" encoding="utf-8"?>
<calcChain xmlns="http://schemas.openxmlformats.org/spreadsheetml/2006/main">
  <c r="P7" i="18" l="1"/>
  <c r="J7" i="18"/>
  <c r="H7" i="18"/>
  <c r="G7" i="18"/>
  <c r="F7" i="18"/>
  <c r="E7" i="18"/>
  <c r="D7" i="18"/>
  <c r="C7" i="18"/>
  <c r="B7" i="18"/>
  <c r="P6" i="18"/>
  <c r="J6" i="18"/>
  <c r="H6" i="18"/>
  <c r="G6" i="18"/>
  <c r="F6" i="18"/>
  <c r="E6" i="18"/>
  <c r="D6" i="18"/>
  <c r="C6" i="18"/>
  <c r="B6" i="18"/>
  <c r="P5" i="18"/>
  <c r="J5" i="18"/>
  <c r="H5" i="18"/>
  <c r="G5" i="18"/>
  <c r="F5" i="18"/>
  <c r="E5" i="18"/>
  <c r="D5" i="18"/>
  <c r="C5" i="18"/>
  <c r="B5" i="18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F6" i="11"/>
  <c r="E6" i="11"/>
  <c r="D6" i="11"/>
  <c r="C6" i="11"/>
  <c r="B6" i="11"/>
  <c r="F5" i="11"/>
  <c r="E5" i="11"/>
  <c r="D5" i="11"/>
  <c r="C5" i="11"/>
  <c r="B5" i="11"/>
  <c r="F4" i="11"/>
  <c r="E4" i="11"/>
  <c r="D4" i="11"/>
  <c r="C4" i="11"/>
  <c r="B4" i="11"/>
  <c r="R9" i="14"/>
  <c r="Q9" i="14"/>
  <c r="P9" i="14"/>
  <c r="O9" i="14"/>
  <c r="N9" i="14"/>
  <c r="M9" i="14"/>
  <c r="L9" i="14"/>
  <c r="K9" i="14"/>
  <c r="J9" i="14"/>
  <c r="I9" i="14"/>
  <c r="H9" i="14"/>
  <c r="G9" i="14"/>
  <c r="S6" i="14"/>
  <c r="D6" i="14"/>
  <c r="C6" i="14"/>
  <c r="B6" i="14"/>
  <c r="S5" i="14"/>
  <c r="D5" i="14"/>
  <c r="C5" i="14"/>
  <c r="B5" i="14"/>
  <c r="S4" i="14"/>
  <c r="D4" i="14"/>
  <c r="C4" i="14"/>
  <c r="B4" i="14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P6" i="10"/>
  <c r="P5" i="10"/>
  <c r="P4" i="10"/>
</calcChain>
</file>

<file path=xl/comments1.xml><?xml version="1.0" encoding="utf-8"?>
<comments xmlns="http://schemas.openxmlformats.org/spreadsheetml/2006/main">
  <authors>
    <author>Author</author>
  </authors>
  <commentList>
    <comment ref="G3" authorId="0">
      <text>
        <r>
          <rPr>
            <sz val="9"/>
            <color indexed="81"/>
            <rFont val="Tahoma"/>
            <family val="2"/>
          </rPr>
          <t xml:space="preserve">1) Project Status:  Push out resources for Projects “At Risk” or “Behind” in a way that builds on the target cadence structure formed from steps 1-3.
2) Move resources to minimize system impact while maintaining the release cadence formed from steps 1-3.
3) Move non-anchors that haven’t been resource loaded already into releases to optimize resource loading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G4" authorId="0">
      <text>
        <r>
          <rPr>
            <sz val="9"/>
            <color indexed="81"/>
            <rFont val="Tahoma"/>
            <family val="2"/>
          </rPr>
          <t xml:space="preserve">1) Project Status:  Push out resources for Projects “At Risk” or “Behind” in a way that builds on the target cadence structure formed from steps 1-3.
2) Move resources to minimize system impact while maintaining the release cadence formed from steps 1-3.
3) Move non-anchors that haven’t been resource loaded already into releases to optimize resource loading
</t>
        </r>
      </text>
    </comment>
  </commentList>
</comments>
</file>

<file path=xl/sharedStrings.xml><?xml version="1.0" encoding="utf-8"?>
<sst xmlns="http://schemas.openxmlformats.org/spreadsheetml/2006/main" count="268" uniqueCount="140">
  <si>
    <t>3G Anatel KPI</t>
  </si>
  <si>
    <t>3G BI/DW (MIT)</t>
  </si>
  <si>
    <t>3G Bill Checkout</t>
  </si>
  <si>
    <t>Project Name</t>
  </si>
  <si>
    <t>Status</t>
  </si>
  <si>
    <t>Dependencies</t>
  </si>
  <si>
    <t>jan/12</t>
  </si>
  <si>
    <t>fev/12</t>
  </si>
  <si>
    <t>abr/12</t>
  </si>
  <si>
    <t>mai/12</t>
  </si>
  <si>
    <t>jun/12</t>
  </si>
  <si>
    <t>jul/12</t>
  </si>
  <si>
    <t>ago/12</t>
  </si>
  <si>
    <t>set/12</t>
  </si>
  <si>
    <t>out/12</t>
  </si>
  <si>
    <t>nov/12</t>
  </si>
  <si>
    <t>dez/12</t>
  </si>
  <si>
    <t>Type</t>
  </si>
  <si>
    <t>3G</t>
  </si>
  <si>
    <t>In execution</t>
  </si>
  <si>
    <t>TBD</t>
  </si>
  <si>
    <t>R - Oct/12</t>
  </si>
  <si>
    <t>R8 - Oct/12</t>
  </si>
  <si>
    <t>Mar/12</t>
  </si>
  <si>
    <t>R7 - Jul/12</t>
  </si>
  <si>
    <t>Dec/11</t>
  </si>
  <si>
    <t>Anchor?</t>
  </si>
  <si>
    <t>Yes</t>
  </si>
  <si>
    <t>On Track</t>
  </si>
  <si>
    <t>Project Status</t>
  </si>
  <si>
    <t>System Impacts</t>
  </si>
  <si>
    <t>Resource Loading</t>
  </si>
  <si>
    <t>Risk Normalization</t>
  </si>
  <si>
    <t>PENDING DATA</t>
  </si>
  <si>
    <t>No Change</t>
  </si>
  <si>
    <t>3G?</t>
  </si>
  <si>
    <t>Budget</t>
  </si>
  <si>
    <t>Anchor</t>
  </si>
  <si>
    <t>Minor Candidate</t>
  </si>
  <si>
    <t>Major Candidate</t>
  </si>
  <si>
    <t>Baseline Release</t>
  </si>
  <si>
    <t>Step 1</t>
  </si>
  <si>
    <t>Step 2</t>
  </si>
  <si>
    <t>Step 3</t>
  </si>
  <si>
    <t>Step 4</t>
  </si>
  <si>
    <t>Step 5</t>
  </si>
  <si>
    <t>#</t>
  </si>
  <si>
    <t>Release Name</t>
  </si>
  <si>
    <t>Capabilities Impacted</t>
  </si>
  <si>
    <t>Major</t>
  </si>
  <si>
    <t>Minor</t>
  </si>
  <si>
    <t>Fix</t>
  </si>
  <si>
    <t>Target Date</t>
  </si>
  <si>
    <t>Anchors &amp; Constraints</t>
  </si>
  <si>
    <t>Target Release</t>
  </si>
  <si>
    <t>RYG Indicator</t>
  </si>
  <si>
    <t>Start Date</t>
  </si>
  <si>
    <t>End Date</t>
  </si>
  <si>
    <t>Revised Start</t>
  </si>
  <si>
    <t>Revised End</t>
  </si>
  <si>
    <t>FTE's</t>
  </si>
  <si>
    <t>System Impact</t>
  </si>
  <si>
    <t>May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</si>
  <si>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</si>
  <si>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</si>
  <si>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</si>
  <si>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</si>
  <si>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</si>
  <si>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</si>
  <si>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</si>
  <si>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</si>
  <si>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</si>
  <si>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</si>
  <si>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</si>
  <si>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TOTALS</t>
  </si>
  <si>
    <t>UPPER LIMIT</t>
  </si>
  <si>
    <t>LOWER LIMIT</t>
  </si>
  <si>
    <t>TOTAL RISK SCORE</t>
  </si>
  <si>
    <t>Row Labels</t>
  </si>
  <si>
    <t>Grand Total</t>
  </si>
  <si>
    <t>Sum of TOTAL RISK SCORE</t>
  </si>
  <si>
    <t>No Dependencies</t>
  </si>
  <si>
    <t>Oracle 11G BD01 + ASM</t>
  </si>
  <si>
    <t>Proposed Release</t>
  </si>
  <si>
    <t>12 - Major - 02/13</t>
  </si>
  <si>
    <t>BASELINE</t>
  </si>
  <si>
    <t>BSCS</t>
  </si>
  <si>
    <t>OFS</t>
  </si>
  <si>
    <t>Single</t>
  </si>
  <si>
    <t>Maestro</t>
  </si>
  <si>
    <t>SFA</t>
  </si>
  <si>
    <t>SFO</t>
  </si>
  <si>
    <t>CRIVO</t>
  </si>
  <si>
    <t>Gemco</t>
  </si>
  <si>
    <t>MIT</t>
  </si>
  <si>
    <t>Synchro</t>
  </si>
  <si>
    <t>Network</t>
  </si>
  <si>
    <t>Datacenter</t>
  </si>
  <si>
    <t>Security</t>
  </si>
  <si>
    <t>Voice</t>
  </si>
  <si>
    <t>EUC</t>
  </si>
  <si>
    <t>Others</t>
  </si>
  <si>
    <t>TOTAL</t>
  </si>
  <si>
    <t>X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</si>
  <si>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</si>
  <si>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</si>
  <si>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</si>
  <si>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</si>
  <si>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</si>
  <si>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</si>
  <si>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</si>
  <si>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</si>
  <si>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</si>
  <si>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</si>
  <si>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PROPOSED RELEASE NAMES / TYPE</t>
  </si>
  <si>
    <t>09 - Major - 11/12</t>
  </si>
  <si>
    <t>WEIGHT</t>
  </si>
  <si>
    <t>Systems Impact</t>
  </si>
  <si>
    <t>08 - Oct/12</t>
  </si>
  <si>
    <t>05 - Jul/12</t>
  </si>
  <si>
    <t>Name / Theme</t>
  </si>
  <si>
    <t>Step 6</t>
  </si>
  <si>
    <t>IT Validation</t>
  </si>
  <si>
    <t>Business Validation</t>
  </si>
  <si>
    <t>0 - TBD</t>
  </si>
  <si>
    <t xml:space="preserve"> ^ DELETE ABOVE EXAMPLES</t>
  </si>
  <si>
    <t>Placeholder</t>
  </si>
  <si>
    <t>One for each Release</t>
  </si>
  <si>
    <t>(blank)</t>
  </si>
  <si>
    <t xml:space="preserve"> ^ Use to ensure inclusion in pivot</t>
  </si>
  <si>
    <t>System 1</t>
  </si>
  <si>
    <t>System 2</t>
  </si>
  <si>
    <t>System 3</t>
  </si>
  <si>
    <t>System 4</t>
  </si>
  <si>
    <t>System 5</t>
  </si>
  <si>
    <t>System 6</t>
  </si>
  <si>
    <t>System 7</t>
  </si>
  <si>
    <t>System 8</t>
  </si>
  <si>
    <t>System 9</t>
  </si>
  <si>
    <t>System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</si>
</sst>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9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"/>
    <numFmt numFmtId="166" formatCode="0.000000"/>
    <numFmt numFmtId="167" formatCode="0.0"/>
    <numFmt numFmtId="168" formatCode="0.0%;[Red]\(0.0%\)"/>
    <numFmt numFmtId="169" formatCode="_(* #,##0.0_);_(* \(#,##0.0\);_(* &quot;-&quot;?_);_(@_)"/>
    <numFmt numFmtId="170" formatCode="_(* #,##0.0_);_(* \(#,##0.0\);_(* &quot;-&quot;??_);_(@_)"/>
    <numFmt numFmtId="171" formatCode="0#####.00"/>
    <numFmt numFmtId="172" formatCode="0.000"/>
    <numFmt numFmtId="173" formatCode="#,##0.0_);\(#,##0.0\)"/>
    <numFmt numFmtId="174" formatCode="#,##0.000_);\(#,##0.000\)"/>
    <numFmt numFmtId="175" formatCode="0#.##"/>
    <numFmt numFmtId="176" formatCode="_ * #,##0.00\ _k_r_._ ;_ * #,##0.00\ _k_r_._ ;_ * &quot;-&quot;??\ _k_r_._ ;_ @_ "/>
    <numFmt numFmtId="177" formatCode="#,##0.000"/>
    <numFmt numFmtId="178" formatCode="_(&quot;R$&quot;* #,##0.00_);_(&quot;R$&quot;* \(#,##0.00\);_(&quot;R$&quot;* &quot;-&quot;??_);_(@_)"/>
    <numFmt numFmtId="179" formatCode="#,##0\ &quot;F&quot;;[Red]\-#,##0\ &quot;F&quot;"/>
    <numFmt numFmtId="180" formatCode="#,##0.00\ &quot;F&quot;;[Red]\-#,##0.00\ &quot;F&quot;"/>
    <numFmt numFmtId="181" formatCode="0.00_)"/>
    <numFmt numFmtId="182" formatCode="[$-409]d\-mmm\-yy;@"/>
    <numFmt numFmtId="183" formatCode="#,##0.00000"/>
    <numFmt numFmtId="184" formatCode="_(&quot;$&quot;* #,##0.0_);_(&quot;$&quot;* \(#,##0.0\);_(&quot;$&quot;* &quot;-&quot;??_);_(@_)"/>
    <numFmt numFmtId="185" formatCode="_-* #,##0.00_-;\-* #,##0.00_-;_-* &quot;-&quot;??_-;_-@_-"/>
    <numFmt numFmtId="186" formatCode="_(&quot;R$ &quot;* #,##0.00_);_(&quot;R$ &quot;* \(#,##0.00\);_(&quot;R$ &quot;* &quot;-&quot;??_);_(@_)"/>
  </numFmts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Palatino"/>
      <family val="1"/>
    </font>
    <font>
      <sz val="10"/>
      <name val="Times New Roman"/>
      <family val="1"/>
    </font>
    <font>
      <sz val="11"/>
      <name val="MS ??"/>
      <family val="1"/>
      <charset val="128"/>
    </font>
    <font>
      <sz val="14"/>
      <name val="Terminal"/>
      <family val="3"/>
      <charset val="128"/>
    </font>
    <font>
      <sz val="10"/>
      <color indexed="8"/>
      <name val="MS Sans Serif"/>
      <family val="2"/>
    </font>
    <font>
      <sz val="10"/>
      <name val="MS Sans Serif"/>
      <family val="2"/>
    </font>
    <font>
      <sz val="12"/>
      <name val="Times New Roman"/>
      <family val="1"/>
    </font>
    <font>
      <sz val="14"/>
      <name val="System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name val="Helv"/>
    </font>
    <font>
      <sz val="14"/>
      <name val="Helv"/>
    </font>
    <font>
      <b/>
      <sz val="14"/>
      <name val="Helv"/>
    </font>
    <font>
      <sz val="8"/>
      <name val="Tahoma"/>
      <family val="2"/>
    </font>
    <font>
      <sz val="8"/>
      <name val="Times New Roman"/>
      <family val="1"/>
    </font>
    <font>
      <sz val="11"/>
      <color indexed="20"/>
      <name val="Calibri"/>
      <family val="2"/>
    </font>
    <font>
      <i/>
      <sz val="10"/>
      <color indexed="56"/>
      <name val="Arial"/>
      <family val="2"/>
    </font>
    <font>
      <sz val="12"/>
      <name val="Tms Rmn"/>
    </font>
    <font>
      <b/>
      <sz val="12"/>
      <name val="Palatino"/>
    </font>
    <font>
      <b/>
      <sz val="10"/>
      <name val="Palatino"/>
    </font>
    <font>
      <b/>
      <u/>
      <sz val="10"/>
      <name val="Palatino"/>
    </font>
    <font>
      <b/>
      <sz val="12"/>
      <name val="Helv"/>
    </font>
    <font>
      <sz val="11"/>
      <color indexed="17"/>
      <name val="Calibri"/>
      <family val="2"/>
    </font>
    <font>
      <sz val="10"/>
      <name val="Geneva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22"/>
      <name val="Arial"/>
      <family val="2"/>
    </font>
    <font>
      <sz val="10"/>
      <name val="Helv"/>
    </font>
    <font>
      <b/>
      <sz val="8"/>
      <name val="Arial"/>
      <family val="2"/>
    </font>
    <font>
      <sz val="10"/>
      <color indexed="56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0"/>
      <name val="Helv"/>
    </font>
    <font>
      <u/>
      <sz val="10"/>
      <color indexed="12"/>
      <name val="Arial"/>
      <family val="2"/>
    </font>
    <font>
      <sz val="10"/>
      <name val="N Helvetica Narrow"/>
    </font>
    <font>
      <sz val="10"/>
      <name val="Century Gothic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2"/>
      <name val="Arial MT"/>
    </font>
    <font>
      <b/>
      <i/>
      <sz val="16"/>
      <name val="Helv"/>
    </font>
    <font>
      <b/>
      <sz val="12"/>
      <color indexed="10"/>
      <name val="Century Gothic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0"/>
      <color indexed="13"/>
      <name val="Arial"/>
      <family val="2"/>
    </font>
    <font>
      <b/>
      <sz val="10"/>
      <color indexed="13"/>
      <name val="Arial"/>
      <family val="2"/>
    </font>
    <font>
      <b/>
      <i/>
      <sz val="10"/>
      <color indexed="8"/>
      <name val="Arial"/>
      <family val="2"/>
    </font>
    <font>
      <b/>
      <i/>
      <sz val="22"/>
      <color indexed="8"/>
      <name val="Times New Roman"/>
      <family val="1"/>
    </font>
    <font>
      <sz val="12"/>
      <color indexed="8"/>
      <name val="Times New Roman"/>
      <family val="1"/>
    </font>
    <font>
      <sz val="10"/>
      <color theme="1"/>
      <name val="Book Antiqua"/>
      <family val="2"/>
    </font>
    <font>
      <sz val="10"/>
      <name val="Palatino"/>
    </font>
    <font>
      <b/>
      <sz val="10"/>
      <name val="MS Sans Serif"/>
      <family val="2"/>
    </font>
    <font>
      <sz val="10"/>
      <color indexed="10"/>
      <name val="Times New Roman"/>
      <family val="1"/>
    </font>
    <font>
      <sz val="10"/>
      <color indexed="12"/>
      <name val="Geneva"/>
    </font>
    <font>
      <b/>
      <sz val="8.25"/>
      <name val="Helv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name val="Century Gothic"/>
      <family val="2"/>
    </font>
    <font>
      <sz val="11"/>
      <name val="ＭＳ Ｐゴシック"/>
      <family val="3"/>
      <charset val="128"/>
    </font>
    <font>
      <b/>
      <sz val="10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3"/>
        <bgColor indexed="64"/>
      </patternFill>
    </fill>
    <fill>
      <patternFill patternType="solid">
        <fgColor indexed="46"/>
        <bgColor indexed="64"/>
      </patternFill>
    </fill>
    <fill>
      <patternFill patternType="mediumGray">
        <fgColor indexed="22"/>
      </patternFill>
    </fill>
    <fill>
      <patternFill patternType="darkGray">
        <fgColor indexed="15"/>
      </patternFill>
    </fill>
    <fill>
      <patternFill patternType="solid">
        <fgColor theme="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56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504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>
      <alignment vertical="top"/>
    </xf>
    <xf numFmtId="0" fontId="7" fillId="0" borderId="0" applyFont="0" applyFill="0" applyBorder="0" applyAlignment="0" applyProtection="0">
      <alignment horizontal="right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 applyFont="0" applyFill="0" applyBorder="0" applyAlignment="0" applyProtection="0">
      <alignment horizontal="right"/>
    </xf>
    <xf numFmtId="165" fontId="2" fillId="0" borderId="0" applyFont="0" applyFill="0" applyBorder="0" applyAlignment="0" applyProtection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/>
    <xf numFmtId="0" fontId="13" fillId="0" borderId="0" applyNumberFormat="0" applyFill="0" applyBorder="0" applyAlignment="0" applyProtection="0"/>
    <xf numFmtId="0" fontId="14" fillId="0" borderId="0"/>
    <xf numFmtId="166" fontId="15" fillId="0" borderId="0">
      <alignment horizont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167" fontId="2" fillId="12" borderId="1" applyNumberFormat="0" applyFill="0" applyBorder="0">
      <alignment vertical="top" wrapText="1"/>
    </xf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9" borderId="0" applyNumberFormat="0" applyBorder="0" applyAlignment="0" applyProtection="0"/>
    <xf numFmtId="0" fontId="16" fillId="13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7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168" fontId="15" fillId="0" borderId="0">
      <alignment horizontal="center"/>
    </xf>
    <xf numFmtId="169" fontId="15" fillId="0" borderId="0">
      <alignment horizontal="center"/>
    </xf>
    <xf numFmtId="37" fontId="18" fillId="0" borderId="0"/>
    <xf numFmtId="37" fontId="19" fillId="0" borderId="0"/>
    <xf numFmtId="37" fontId="20" fillId="0" borderId="0"/>
    <xf numFmtId="0" fontId="12" fillId="0" borderId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37" fontId="21" fillId="25" borderId="2" applyBorder="0" applyProtection="0">
      <alignment vertical="center"/>
    </xf>
    <xf numFmtId="0" fontId="22" fillId="0" borderId="0">
      <alignment horizontal="center" wrapText="1"/>
      <protection locked="0"/>
    </xf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167" fontId="24" fillId="0" borderId="0" applyNumberFormat="0" applyFill="0">
      <alignment vertical="top" wrapText="1"/>
    </xf>
    <xf numFmtId="0" fontId="25" fillId="0" borderId="0" applyNumberFormat="0" applyFill="0" applyBorder="0" applyAlignment="0" applyProtection="0"/>
    <xf numFmtId="0" fontId="26" fillId="0" borderId="0" applyNumberFormat="0"/>
    <xf numFmtId="0" fontId="27" fillId="0" borderId="3"/>
    <xf numFmtId="0" fontId="28" fillId="0" borderId="0" applyNumberFormat="0"/>
    <xf numFmtId="37" fontId="29" fillId="0" borderId="4" applyNumberFormat="0" applyFont="0" applyFill="0" applyAlignment="0" applyProtection="0"/>
    <xf numFmtId="37" fontId="29" fillId="0" borderId="5" applyNumberFormat="0" applyFont="0" applyFill="0" applyAlignment="0" applyProtection="0"/>
    <xf numFmtId="0" fontId="30" fillId="8" borderId="0" applyNumberFormat="0" applyBorder="0" applyAlignment="0" applyProtection="0"/>
    <xf numFmtId="0" fontId="2" fillId="0" borderId="0" applyNumberFormat="0" applyFill="0" applyBorder="0" applyAlignment="0" applyProtection="0"/>
    <xf numFmtId="170" fontId="2" fillId="0" borderId="0" applyFill="0" applyBorder="0" applyAlignment="0"/>
    <xf numFmtId="171" fontId="31" fillId="0" borderId="0" applyFill="0" applyBorder="0" applyAlignment="0"/>
    <xf numFmtId="172" fontId="32" fillId="0" borderId="0" applyFill="0" applyBorder="0" applyAlignment="0"/>
    <xf numFmtId="173" fontId="33" fillId="0" borderId="0" applyFill="0" applyBorder="0" applyAlignment="0"/>
    <xf numFmtId="174" fontId="33" fillId="0" borderId="0" applyFill="0" applyBorder="0" applyAlignment="0"/>
    <xf numFmtId="170" fontId="2" fillId="0" borderId="0" applyFill="0" applyBorder="0" applyAlignment="0"/>
    <xf numFmtId="175" fontId="31" fillId="0" borderId="0" applyFill="0" applyBorder="0" applyAlignment="0"/>
    <xf numFmtId="171" fontId="31" fillId="0" borderId="0" applyFill="0" applyBorder="0" applyAlignment="0"/>
    <xf numFmtId="0" fontId="34" fillId="26" borderId="6" applyNumberFormat="0" applyAlignment="0" applyProtection="0"/>
    <xf numFmtId="0" fontId="34" fillId="26" borderId="6" applyNumberFormat="0" applyAlignment="0" applyProtection="0"/>
    <xf numFmtId="0" fontId="34" fillId="26" borderId="6" applyNumberFormat="0" applyAlignment="0" applyProtection="0"/>
    <xf numFmtId="0" fontId="34" fillId="26" borderId="6" applyNumberFormat="0" applyAlignment="0" applyProtection="0"/>
    <xf numFmtId="0" fontId="34" fillId="26" borderId="6" applyNumberFormat="0" applyAlignment="0" applyProtection="0"/>
    <xf numFmtId="0" fontId="34" fillId="26" borderId="6" applyNumberFormat="0" applyAlignment="0" applyProtection="0"/>
    <xf numFmtId="0" fontId="35" fillId="27" borderId="7" applyNumberFormat="0" applyAlignment="0" applyProtection="0"/>
    <xf numFmtId="0" fontId="36" fillId="0" borderId="8" applyNumberFormat="0" applyFill="0" applyAlignment="0" applyProtection="0"/>
    <xf numFmtId="0" fontId="35" fillId="27" borderId="7" applyNumberFormat="0" applyAlignment="0" applyProtection="0"/>
    <xf numFmtId="0" fontId="35" fillId="27" borderId="7" applyNumberFormat="0" applyAlignment="0" applyProtection="0"/>
    <xf numFmtId="0" fontId="35" fillId="27" borderId="7" applyNumberFormat="0" applyAlignment="0" applyProtection="0"/>
    <xf numFmtId="0" fontId="35" fillId="27" borderId="7" applyNumberFormat="0" applyAlignment="0" applyProtection="0"/>
    <xf numFmtId="0" fontId="35" fillId="27" borderId="7" applyNumberFormat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37" fillId="0" borderId="0" applyFont="0" applyFill="0" applyBorder="0" applyAlignment="0" applyProtection="0"/>
    <xf numFmtId="0" fontId="38" fillId="0" borderId="0"/>
    <xf numFmtId="171" fontId="3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7" fillId="0" borderId="0" applyFont="0" applyFill="0" applyBorder="0" applyAlignment="0" applyProtection="0"/>
    <xf numFmtId="176" fontId="31" fillId="12" borderId="0" applyFont="0" applyBorder="0"/>
    <xf numFmtId="0" fontId="39" fillId="0" borderId="9">
      <alignment horizontal="center"/>
    </xf>
    <xf numFmtId="0" fontId="40" fillId="0" borderId="10">
      <protection locked="0"/>
    </xf>
    <xf numFmtId="0" fontId="37" fillId="0" borderId="0" applyFont="0" applyFill="0" applyBorder="0" applyAlignment="0" applyProtection="0"/>
    <xf numFmtId="0" fontId="38" fillId="0" borderId="0"/>
    <xf numFmtId="14" fontId="6" fillId="0" borderId="0" applyFill="0" applyBorder="0" applyAlignment="0"/>
    <xf numFmtId="15" fontId="12" fillId="0" borderId="0"/>
    <xf numFmtId="177" fontId="2" fillId="0" borderId="11">
      <alignment vertical="center"/>
    </xf>
    <xf numFmtId="0" fontId="2" fillId="0" borderId="0"/>
    <xf numFmtId="0" fontId="41" fillId="0" borderId="0" applyNumberFormat="0" applyFill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4" borderId="0" applyNumberFormat="0" applyBorder="0" applyAlignment="0" applyProtection="0"/>
    <xf numFmtId="170" fontId="2" fillId="0" borderId="0" applyFill="0" applyBorder="0" applyAlignment="0"/>
    <xf numFmtId="171" fontId="31" fillId="0" borderId="0" applyFill="0" applyBorder="0" applyAlignment="0"/>
    <xf numFmtId="170" fontId="2" fillId="0" borderId="0" applyFill="0" applyBorder="0" applyAlignment="0"/>
    <xf numFmtId="175" fontId="31" fillId="0" borderId="0" applyFill="0" applyBorder="0" applyAlignment="0"/>
    <xf numFmtId="171" fontId="31" fillId="0" borderId="0" applyFill="0" applyBorder="0" applyAlignment="0"/>
    <xf numFmtId="0" fontId="42" fillId="11" borderId="6" applyNumberFormat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43" fontId="39" fillId="0" borderId="12">
      <alignment horizontal="center"/>
    </xf>
    <xf numFmtId="2" fontId="37" fillId="0" borderId="0" applyFont="0" applyFill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38" fontId="44" fillId="12" borderId="0" applyNumberFormat="0" applyBorder="0" applyAlignment="0" applyProtection="0"/>
    <xf numFmtId="0" fontId="45" fillId="0" borderId="13" applyNumberFormat="0" applyAlignment="0" applyProtection="0">
      <alignment horizontal="left" vertical="center"/>
    </xf>
    <xf numFmtId="0" fontId="45" fillId="0" borderId="14">
      <alignment horizontal="left" vertical="center"/>
    </xf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6" fillId="0" borderId="15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37" fontId="48" fillId="0" borderId="0" applyNumberFormat="0" applyFill="0" applyBorder="0" applyAlignment="0" applyProtection="0"/>
    <xf numFmtId="37" fontId="29" fillId="0" borderId="0" applyNumberFormat="0" applyFill="0" applyBorder="0" applyAlignment="0" applyProtection="0"/>
    <xf numFmtId="0" fontId="2" fillId="25" borderId="0" applyNumberFormat="0" applyFont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23" fillId="7" borderId="0" applyNumberFormat="0" applyBorder="0" applyAlignment="0" applyProtection="0"/>
    <xf numFmtId="10" fontId="44" fillId="28" borderId="12" applyNumberFormat="0" applyBorder="0" applyAlignment="0" applyProtection="0"/>
    <xf numFmtId="0" fontId="42" fillId="11" borderId="6" applyNumberFormat="0" applyAlignment="0" applyProtection="0"/>
    <xf numFmtId="0" fontId="42" fillId="11" borderId="6" applyNumberFormat="0" applyAlignment="0" applyProtection="0"/>
    <xf numFmtId="0" fontId="42" fillId="11" borderId="6" applyNumberFormat="0" applyAlignment="0" applyProtection="0"/>
    <xf numFmtId="0" fontId="42" fillId="11" borderId="6" applyNumberFormat="0" applyAlignment="0" applyProtection="0"/>
    <xf numFmtId="0" fontId="42" fillId="11" borderId="6" applyNumberFormat="0" applyAlignment="0" applyProtection="0"/>
    <xf numFmtId="3" fontId="50" fillId="0" borderId="18" applyNumberFormat="0" applyFont="0" applyFill="0" applyAlignment="0">
      <alignment horizontal="center" vertical="top"/>
      <protection locked="0"/>
    </xf>
    <xf numFmtId="170" fontId="2" fillId="0" borderId="0" applyFill="0" applyBorder="0" applyAlignment="0"/>
    <xf numFmtId="171" fontId="31" fillId="0" borderId="0" applyFill="0" applyBorder="0" applyAlignment="0"/>
    <xf numFmtId="170" fontId="2" fillId="0" borderId="0" applyFill="0" applyBorder="0" applyAlignment="0"/>
    <xf numFmtId="175" fontId="31" fillId="0" borderId="0" applyFill="0" applyBorder="0" applyAlignment="0"/>
    <xf numFmtId="171" fontId="31" fillId="0" borderId="0" applyFill="0" applyBorder="0" applyAlignment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36" fillId="0" borderId="8" applyNumberFormat="0" applyFill="0" applyAlignment="0" applyProtection="0"/>
    <xf numFmtId="0" fontId="51" fillId="0" borderId="0" applyNumberFormat="0" applyFont="0" applyFill="0" applyBorder="0" applyAlignment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0" fontId="52" fillId="29" borderId="0" applyNumberFormat="0" applyBorder="0" applyAlignment="0" applyProtection="0"/>
    <xf numFmtId="0" fontId="52" fillId="29" borderId="0" applyNumberFormat="0" applyBorder="0" applyAlignment="0" applyProtection="0"/>
    <xf numFmtId="0" fontId="52" fillId="29" borderId="0" applyNumberFormat="0" applyBorder="0" applyAlignment="0" applyProtection="0"/>
    <xf numFmtId="0" fontId="52" fillId="29" borderId="0" applyNumberFormat="0" applyBorder="0" applyAlignment="0" applyProtection="0"/>
    <xf numFmtId="0" fontId="52" fillId="29" borderId="0" applyNumberFormat="0" applyBorder="0" applyAlignment="0" applyProtection="0"/>
    <xf numFmtId="0" fontId="8" fillId="0" borderId="0"/>
    <xf numFmtId="37" fontId="53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181" fontId="55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182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182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0" fontId="16" fillId="30" borderId="19" applyNumberFormat="0" applyFont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6" fillId="25" borderId="12" applyNumberFormat="0" applyBorder="0">
      <alignment horizontal="center" vertical="center"/>
    </xf>
    <xf numFmtId="0" fontId="57" fillId="26" borderId="9" applyNumberFormat="0" applyAlignment="0" applyProtection="0"/>
    <xf numFmtId="0" fontId="57" fillId="26" borderId="9" applyNumberFormat="0" applyAlignment="0" applyProtection="0"/>
    <xf numFmtId="0" fontId="57" fillId="26" borderId="9" applyNumberFormat="0" applyAlignment="0" applyProtection="0"/>
    <xf numFmtId="0" fontId="57" fillId="26" borderId="9" applyNumberFormat="0" applyAlignment="0" applyProtection="0"/>
    <xf numFmtId="0" fontId="57" fillId="26" borderId="9" applyNumberFormat="0" applyAlignment="0" applyProtection="0"/>
    <xf numFmtId="40" fontId="58" fillId="25" borderId="0">
      <alignment horizontal="right"/>
    </xf>
    <xf numFmtId="0" fontId="59" fillId="31" borderId="0">
      <alignment horizontal="center"/>
    </xf>
    <xf numFmtId="0" fontId="60" fillId="32" borderId="0"/>
    <xf numFmtId="0" fontId="61" fillId="25" borderId="0" applyBorder="0">
      <alignment horizontal="centerContinuous"/>
    </xf>
    <xf numFmtId="0" fontId="62" fillId="25" borderId="0" applyBorder="0">
      <alignment horizontal="centerContinuous"/>
    </xf>
    <xf numFmtId="0" fontId="63" fillId="25" borderId="0"/>
    <xf numFmtId="174" fontId="33" fillId="0" borderId="0" applyFont="0" applyFill="0" applyBorder="0" applyAlignment="0" applyProtection="0"/>
    <xf numFmtId="177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0" fontId="2" fillId="0" borderId="0" applyFill="0" applyBorder="0" applyAlignment="0"/>
    <xf numFmtId="171" fontId="31" fillId="0" borderId="0" applyFill="0" applyBorder="0" applyAlignment="0"/>
    <xf numFmtId="170" fontId="2" fillId="0" borderId="0" applyFill="0" applyBorder="0" applyAlignment="0"/>
    <xf numFmtId="175" fontId="31" fillId="0" borderId="0" applyFill="0" applyBorder="0" applyAlignment="0"/>
    <xf numFmtId="171" fontId="31" fillId="0" borderId="0" applyFill="0" applyBorder="0" applyAlignment="0"/>
    <xf numFmtId="0" fontId="12" fillId="0" borderId="0" applyNumberFormat="0" applyFont="0" applyFill="0" applyBorder="0" applyAlignment="0" applyProtection="0">
      <alignment horizontal="left"/>
    </xf>
    <xf numFmtId="15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66" fillId="0" borderId="4">
      <alignment horizontal="center"/>
    </xf>
    <xf numFmtId="3" fontId="12" fillId="0" borderId="0" applyFont="0" applyFill="0" applyBorder="0" applyAlignment="0" applyProtection="0"/>
    <xf numFmtId="0" fontId="12" fillId="33" borderId="0" applyNumberFormat="0" applyFont="0" applyBorder="0" applyAlignment="0" applyProtection="0"/>
    <xf numFmtId="37" fontId="67" fillId="0" borderId="0" applyNumberFormat="0" applyFill="0" applyBorder="0" applyAlignment="0" applyProtection="0"/>
    <xf numFmtId="0" fontId="68" fillId="25" borderId="19" applyNumberFormat="0" applyFont="0" applyAlignment="0" applyProtection="0">
      <alignment horizontal="left"/>
    </xf>
    <xf numFmtId="0" fontId="57" fillId="26" borderId="9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9" fillId="34" borderId="20"/>
    <xf numFmtId="180" fontId="12" fillId="0" borderId="0">
      <alignment horizontal="center"/>
    </xf>
    <xf numFmtId="0" fontId="2" fillId="0" borderId="0">
      <alignment horizontal="left" vertical="top" wrapText="1"/>
    </xf>
    <xf numFmtId="0" fontId="2" fillId="0" borderId="0"/>
    <xf numFmtId="0" fontId="2" fillId="0" borderId="0"/>
    <xf numFmtId="0" fontId="2" fillId="0" borderId="0"/>
    <xf numFmtId="0" fontId="2" fillId="0" borderId="0"/>
    <xf numFmtId="49" fontId="6" fillId="0" borderId="0" applyFill="0" applyBorder="0" applyAlignment="0"/>
    <xf numFmtId="183" fontId="2" fillId="0" borderId="0" applyFill="0" applyBorder="0" applyAlignment="0"/>
    <xf numFmtId="184" fontId="2" fillId="0" borderId="0" applyFill="0" applyBorder="0" applyAlignment="0"/>
    <xf numFmtId="0" fontId="7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6" fillId="0" borderId="15" applyNumberFormat="0" applyFill="0" applyAlignment="0" applyProtection="0"/>
    <xf numFmtId="0" fontId="47" fillId="0" borderId="16" applyNumberFormat="0" applyFill="0" applyAlignment="0" applyProtection="0"/>
    <xf numFmtId="0" fontId="41" fillId="0" borderId="17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21" applyNumberFormat="0" applyFill="0" applyAlignment="0" applyProtection="0"/>
    <xf numFmtId="0" fontId="72" fillId="0" borderId="21" applyNumberFormat="0" applyFill="0" applyAlignment="0" applyProtection="0"/>
    <xf numFmtId="0" fontId="72" fillId="0" borderId="21" applyNumberFormat="0" applyFill="0" applyAlignment="0" applyProtection="0"/>
    <xf numFmtId="0" fontId="72" fillId="0" borderId="21" applyNumberFormat="0" applyFill="0" applyAlignment="0" applyProtection="0"/>
    <xf numFmtId="0" fontId="72" fillId="0" borderId="21" applyNumberFormat="0" applyFill="0" applyAlignment="0" applyProtection="0"/>
    <xf numFmtId="10" fontId="2" fillId="25" borderId="22" applyNumberFormat="0" applyFont="0" applyFill="0" applyBorder="0" applyAlignment="0">
      <protection locked="0"/>
    </xf>
    <xf numFmtId="5" fontId="73" fillId="25" borderId="0" applyNumberFormat="0" applyFont="0" applyFill="0" applyBorder="0" applyAlignment="0">
      <alignment horizontal="center"/>
      <protection locked="0"/>
    </xf>
    <xf numFmtId="0" fontId="51" fillId="25" borderId="0" applyNumberFormat="0" applyFont="0" applyBorder="0" applyAlignment="0">
      <alignment horizontal="center"/>
      <protection locked="0"/>
    </xf>
    <xf numFmtId="185" fontId="2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38" fontId="74" fillId="0" borderId="0" applyFont="0" applyFill="0" applyBorder="0" applyAlignment="0" applyProtection="0"/>
    <xf numFmtId="0" fontId="74" fillId="0" borderId="0"/>
    <xf numFmtId="186" fontId="1" fillId="0" borderId="0" applyFont="0" applyFill="0" applyBorder="0" applyAlignment="0" applyProtection="0"/>
  </cellStyleXfs>
  <cellXfs count="79">
    <xf numFmtId="0" fontId="0" fillId="0" borderId="0" xfId="0"/>
    <xf numFmtId="17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5" borderId="0" xfId="1" applyFont="1" applyFill="1" applyBorder="1" applyAlignment="1"/>
    <xf numFmtId="0" fontId="4" fillId="5" borderId="0" xfId="1" applyFont="1" applyFill="1" applyBorder="1" applyAlignment="1">
      <alignment horizontal="left"/>
    </xf>
    <xf numFmtId="0" fontId="2" fillId="0" borderId="0" xfId="1" applyAlignment="1"/>
    <xf numFmtId="0" fontId="4" fillId="5" borderId="0" xfId="1" applyFont="1" applyFill="1" applyBorder="1" applyAlignment="1">
      <alignment vertical="center"/>
    </xf>
    <xf numFmtId="0" fontId="4" fillId="5" borderId="0" xfId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1" applyFont="1" applyBorder="1" applyAlignment="1"/>
    <xf numFmtId="0" fontId="4" fillId="0" borderId="0" xfId="1" applyFont="1" applyBorder="1" applyAlignment="1">
      <alignment horizontal="left"/>
    </xf>
    <xf numFmtId="0" fontId="75" fillId="35" borderId="0" xfId="1" applyFont="1" applyFill="1" applyBorder="1" applyAlignment="1">
      <alignment vertical="center"/>
    </xf>
    <xf numFmtId="0" fontId="2" fillId="0" borderId="0" xfId="1" applyAlignment="1">
      <alignment horizontal="center"/>
    </xf>
    <xf numFmtId="0" fontId="75" fillId="36" borderId="0" xfId="1" applyFont="1" applyFill="1" applyBorder="1" applyAlignment="1">
      <alignment vertical="center"/>
    </xf>
    <xf numFmtId="0" fontId="75" fillId="39" borderId="0" xfId="1" applyFont="1" applyFill="1" applyBorder="1" applyAlignment="1">
      <alignment vertical="center"/>
    </xf>
    <xf numFmtId="0" fontId="75" fillId="41" borderId="0" xfId="1" applyFont="1" applyFill="1" applyBorder="1" applyAlignment="1"/>
    <xf numFmtId="0" fontId="75" fillId="40" borderId="0" xfId="1" applyFont="1" applyFill="1" applyBorder="1" applyAlignment="1"/>
    <xf numFmtId="0" fontId="75" fillId="40" borderId="0" xfId="1" applyFont="1" applyFill="1" applyBorder="1" applyAlignment="1">
      <alignment vertical="center"/>
    </xf>
    <xf numFmtId="14" fontId="3" fillId="0" borderId="0" xfId="0" applyNumberFormat="1" applyFont="1"/>
    <xf numFmtId="0" fontId="4" fillId="5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left" vertical="center"/>
    </xf>
    <xf numFmtId="0" fontId="5" fillId="37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5" fillId="43" borderId="0" xfId="0" applyFont="1" applyFill="1" applyBorder="1" applyAlignment="1">
      <alignment horizontal="left" vertical="center"/>
    </xf>
    <xf numFmtId="0" fontId="5" fillId="42" borderId="0" xfId="0" applyFont="1" applyFill="1" applyBorder="1" applyAlignment="1">
      <alignment horizontal="left" vertical="center"/>
    </xf>
    <xf numFmtId="0" fontId="5" fillId="44" borderId="0" xfId="0" applyFont="1" applyFill="1" applyBorder="1" applyAlignment="1">
      <alignment horizontal="left" vertical="center"/>
    </xf>
    <xf numFmtId="0" fontId="4" fillId="45" borderId="0" xfId="1" applyFont="1" applyFill="1" applyBorder="1" applyAlignment="1">
      <alignment vertical="center"/>
    </xf>
    <xf numFmtId="0" fontId="75" fillId="38" borderId="0" xfId="1" applyFont="1" applyFill="1" applyBorder="1" applyAlignment="1"/>
    <xf numFmtId="0" fontId="75" fillId="46" borderId="0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NumberFormat="1"/>
    <xf numFmtId="1" fontId="4" fillId="0" borderId="0" xfId="1" applyNumberFormat="1" applyFont="1" applyAlignment="1"/>
    <xf numFmtId="0" fontId="4" fillId="0" borderId="0" xfId="1" applyFont="1" applyAlignment="1"/>
    <xf numFmtId="0" fontId="3" fillId="0" borderId="0" xfId="0" applyFont="1" applyFill="1" applyAlignment="1">
      <alignment horizontal="center"/>
    </xf>
    <xf numFmtId="0" fontId="3" fillId="0" borderId="0" xfId="0" applyFont="1" applyAlignment="1"/>
    <xf numFmtId="0" fontId="75" fillId="36" borderId="0" xfId="1" applyFont="1" applyFill="1" applyBorder="1" applyAlignment="1"/>
    <xf numFmtId="1" fontId="3" fillId="0" borderId="0" xfId="0" applyNumberFormat="1" applyFont="1" applyAlignment="1">
      <alignment horizontal="center"/>
    </xf>
    <xf numFmtId="0" fontId="5" fillId="45" borderId="0" xfId="1" applyFont="1" applyFill="1" applyBorder="1" applyAlignment="1">
      <alignment vertical="center"/>
    </xf>
    <xf numFmtId="1" fontId="3" fillId="44" borderId="0" xfId="0" applyNumberFormat="1" applyFont="1" applyFill="1"/>
    <xf numFmtId="0" fontId="3" fillId="3" borderId="0" xfId="0" applyFont="1" applyFill="1"/>
    <xf numFmtId="0" fontId="3" fillId="0" borderId="0" xfId="0" applyFont="1" applyBorder="1" applyAlignment="1">
      <alignment horizontal="center"/>
    </xf>
    <xf numFmtId="1" fontId="3" fillId="0" borderId="0" xfId="3" applyNumberFormat="1" applyFont="1" applyAlignment="1">
      <alignment horizontal="center" vertical="center"/>
    </xf>
    <xf numFmtId="1" fontId="3" fillId="0" borderId="0" xfId="3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49" fontId="3" fillId="0" borderId="0" xfId="0" applyNumberFormat="1" applyFont="1" applyAlignment="1">
      <alignment horizontal="center"/>
    </xf>
    <xf numFmtId="0" fontId="76" fillId="5" borderId="0" xfId="1" applyFont="1" applyFill="1" applyBorder="1" applyAlignment="1">
      <alignment horizontal="left"/>
    </xf>
    <xf numFmtId="0" fontId="3" fillId="0" borderId="0" xfId="0" applyFont="1" applyFill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" fontId="78" fillId="44" borderId="0" xfId="0" applyNumberFormat="1" applyFont="1" applyFill="1" applyAlignment="1">
      <alignment horizontal="center"/>
    </xf>
    <xf numFmtId="0" fontId="79" fillId="5" borderId="0" xfId="1" applyFont="1" applyFill="1" applyAlignment="1"/>
    <xf numFmtId="0" fontId="79" fillId="5" borderId="0" xfId="1" applyFont="1" applyFill="1" applyBorder="1" applyAlignment="1"/>
    <xf numFmtId="164" fontId="3" fillId="0" borderId="0" xfId="3" applyNumberFormat="1" applyFont="1" applyAlignment="1"/>
    <xf numFmtId="164" fontId="3" fillId="0" borderId="0" xfId="0" applyNumberFormat="1" applyFont="1" applyAlignment="1"/>
    <xf numFmtId="164" fontId="3" fillId="0" borderId="0" xfId="0" applyNumberFormat="1" applyFont="1" applyBorder="1" applyAlignment="1"/>
    <xf numFmtId="0" fontId="5" fillId="44" borderId="0" xfId="0" applyFont="1" applyFill="1" applyBorder="1" applyAlignment="1">
      <alignment vertical="center"/>
    </xf>
    <xf numFmtId="0" fontId="4" fillId="0" borderId="0" xfId="1" quotePrefix="1" applyFont="1" applyAlignment="1"/>
    <xf numFmtId="0" fontId="75" fillId="47" borderId="0" xfId="1" applyFont="1" applyFill="1" applyAlignment="1">
      <alignment horizontal="left" vertical="center"/>
    </xf>
    <xf numFmtId="0" fontId="4" fillId="47" borderId="0" xfId="1" applyFont="1" applyFill="1" applyAlignment="1">
      <alignment horizontal="left" vertical="center"/>
    </xf>
    <xf numFmtId="0" fontId="5" fillId="48" borderId="0" xfId="1" applyFont="1" applyFill="1" applyAlignment="1">
      <alignment horizontal="left" vertical="center"/>
    </xf>
    <xf numFmtId="0" fontId="3" fillId="0" borderId="0" xfId="0" quotePrefix="1" applyFont="1" applyFill="1" applyAlignment="1">
      <alignment vertical="center"/>
    </xf>
    <xf numFmtId="0" fontId="78" fillId="0" borderId="0" xfId="0" applyFont="1" applyAlignment="1"/>
    <xf numFmtId="0" fontId="4" fillId="5" borderId="0" xfId="1" applyFont="1" applyFill="1" applyBorder="1" applyAlignment="1">
      <alignment horizontal="right" vertical="center"/>
    </xf>
    <xf numFmtId="6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4" fillId="0" borderId="0" xfId="1" applyFont="1" applyBorder="1" applyAlignment="1">
      <alignment horizontal="right" vertical="center"/>
    </xf>
  </cellXfs>
  <cellStyles count="504">
    <cellStyle name=" 1" xfId="4"/>
    <cellStyle name="(0%) &quot; - &quot;" xfId="5"/>
    <cellStyle name="(0%) &quot; - &quot;per" xfId="6"/>
    <cellStyle name="(0,000) &quot; - &quot;" xfId="7"/>
    <cellStyle name="(0,000) &quot; - &quot;num" xfId="8"/>
    <cellStyle name="(0.0%)" xfId="9"/>
    <cellStyle name="?? [0.00]_laroux" xfId="10"/>
    <cellStyle name="???? [0.00]_laroux" xfId="11"/>
    <cellStyle name="????_laroux" xfId="12"/>
    <cellStyle name="??_??" xfId="13"/>
    <cellStyle name="_Apr'09 Database v1" xfId="14"/>
    <cellStyle name="_Jul'09 Database" xfId="15"/>
    <cellStyle name="_Markets Master Budget" xfId="16"/>
    <cellStyle name="_Mexico_Clean" xfId="17"/>
    <cellStyle name="_ORCAMENTO NEXTEL 10-05-07 REVISAO 003" xfId="18"/>
    <cellStyle name="000 PN" xfId="19"/>
    <cellStyle name="20% - Accent1 2" xfId="20"/>
    <cellStyle name="20% - Accent1 3" xfId="21"/>
    <cellStyle name="20% - Accent1 4" xfId="22"/>
    <cellStyle name="20% - Accent1 5" xfId="23"/>
    <cellStyle name="20% - Accent1 6" xfId="24"/>
    <cellStyle name="20% - Accent2 2" xfId="25"/>
    <cellStyle name="20% - Accent2 3" xfId="26"/>
    <cellStyle name="20% - Accent2 4" xfId="27"/>
    <cellStyle name="20% - Accent2 5" xfId="28"/>
    <cellStyle name="20% - Accent2 6" xfId="29"/>
    <cellStyle name="20% - Accent3 2" xfId="30"/>
    <cellStyle name="20% - Accent3 3" xfId="31"/>
    <cellStyle name="20% - Accent3 4" xfId="32"/>
    <cellStyle name="20% - Accent3 5" xfId="33"/>
    <cellStyle name="20% - Accent3 6" xfId="34"/>
    <cellStyle name="20% - Accent4 2" xfId="35"/>
    <cellStyle name="20% - Accent4 3" xfId="36"/>
    <cellStyle name="20% - Accent4 4" xfId="37"/>
    <cellStyle name="20% - Accent4 5" xfId="38"/>
    <cellStyle name="20% - Accent4 6" xfId="39"/>
    <cellStyle name="20% - Accent5 2" xfId="40"/>
    <cellStyle name="20% - Accent5 3" xfId="41"/>
    <cellStyle name="20% - Accent5 4" xfId="42"/>
    <cellStyle name="20% - Accent5 5" xfId="43"/>
    <cellStyle name="20% - Accent5 6" xfId="44"/>
    <cellStyle name="20% - Accent6 2" xfId="45"/>
    <cellStyle name="20% - Accent6 3" xfId="46"/>
    <cellStyle name="20% - Accent6 4" xfId="47"/>
    <cellStyle name="20% - Accent6 5" xfId="48"/>
    <cellStyle name="20% - Accent6 6" xfId="49"/>
    <cellStyle name="20% - Énfasis1" xfId="50"/>
    <cellStyle name="20% - Énfasis2" xfId="51"/>
    <cellStyle name="20% - Énfasis3" xfId="52"/>
    <cellStyle name="20% - Énfasis4" xfId="53"/>
    <cellStyle name="20% - Énfasis5" xfId="54"/>
    <cellStyle name="20% - Énfasis6" xfId="55"/>
    <cellStyle name="2line" xfId="56"/>
    <cellStyle name="40% - Accent1 2" xfId="57"/>
    <cellStyle name="40% - Accent1 3" xfId="58"/>
    <cellStyle name="40% - Accent1 4" xfId="59"/>
    <cellStyle name="40% - Accent1 5" xfId="60"/>
    <cellStyle name="40% - Accent1 6" xfId="61"/>
    <cellStyle name="40% - Accent2 2" xfId="62"/>
    <cellStyle name="40% - Accent2 3" xfId="63"/>
    <cellStyle name="40% - Accent2 4" xfId="64"/>
    <cellStyle name="40% - Accent2 5" xfId="65"/>
    <cellStyle name="40% - Accent2 6" xfId="66"/>
    <cellStyle name="40% - Accent3 2" xfId="67"/>
    <cellStyle name="40% - Accent3 3" xfId="68"/>
    <cellStyle name="40% - Accent3 4" xfId="69"/>
    <cellStyle name="40% - Accent3 5" xfId="70"/>
    <cellStyle name="40% - Accent3 6" xfId="71"/>
    <cellStyle name="40% - Accent4 2" xfId="72"/>
    <cellStyle name="40% - Accent4 3" xfId="73"/>
    <cellStyle name="40% - Accent4 4" xfId="74"/>
    <cellStyle name="40% - Accent4 5" xfId="75"/>
    <cellStyle name="40% - Accent4 6" xfId="76"/>
    <cellStyle name="40% - Accent5 2" xfId="77"/>
    <cellStyle name="40% - Accent5 3" xfId="78"/>
    <cellStyle name="40% - Accent5 4" xfId="79"/>
    <cellStyle name="40% - Accent5 5" xfId="80"/>
    <cellStyle name="40% - Accent5 6" xfId="81"/>
    <cellStyle name="40% - Accent6 2" xfId="82"/>
    <cellStyle name="40% - Accent6 3" xfId="83"/>
    <cellStyle name="40% - Accent6 4" xfId="84"/>
    <cellStyle name="40% - Accent6 5" xfId="85"/>
    <cellStyle name="40% - Accent6 6" xfId="86"/>
    <cellStyle name="40% - Énfasis1" xfId="87"/>
    <cellStyle name="40% - Énfasis2" xfId="88"/>
    <cellStyle name="40% - Énfasis3" xfId="89"/>
    <cellStyle name="40% - Énfasis4" xfId="90"/>
    <cellStyle name="40% - Énfasis5" xfId="91"/>
    <cellStyle name="40% - Énfasis6" xfId="92"/>
    <cellStyle name="60% - Accent1 2" xfId="93"/>
    <cellStyle name="60% - Accent1 3" xfId="94"/>
    <cellStyle name="60% - Accent1 4" xfId="95"/>
    <cellStyle name="60% - Accent1 5" xfId="96"/>
    <cellStyle name="60% - Accent1 6" xfId="97"/>
    <cellStyle name="60% - Accent2 2" xfId="98"/>
    <cellStyle name="60% - Accent2 3" xfId="99"/>
    <cellStyle name="60% - Accent2 4" xfId="100"/>
    <cellStyle name="60% - Accent2 5" xfId="101"/>
    <cellStyle name="60% - Accent2 6" xfId="102"/>
    <cellStyle name="60% - Accent3 2" xfId="103"/>
    <cellStyle name="60% - Accent3 3" xfId="104"/>
    <cellStyle name="60% - Accent3 4" xfId="105"/>
    <cellStyle name="60% - Accent3 5" xfId="106"/>
    <cellStyle name="60% - Accent3 6" xfId="107"/>
    <cellStyle name="60% - Accent4 2" xfId="108"/>
    <cellStyle name="60% - Accent4 3" xfId="109"/>
    <cellStyle name="60% - Accent4 4" xfId="110"/>
    <cellStyle name="60% - Accent4 5" xfId="111"/>
    <cellStyle name="60% - Accent4 6" xfId="112"/>
    <cellStyle name="60% - Accent5 2" xfId="113"/>
    <cellStyle name="60% - Accent5 3" xfId="114"/>
    <cellStyle name="60% - Accent5 4" xfId="115"/>
    <cellStyle name="60% - Accent5 5" xfId="116"/>
    <cellStyle name="60% - Accent5 6" xfId="117"/>
    <cellStyle name="60% - Accent6 2" xfId="118"/>
    <cellStyle name="60% - Accent6 3" xfId="119"/>
    <cellStyle name="60% - Accent6 4" xfId="120"/>
    <cellStyle name="60% - Accent6 5" xfId="121"/>
    <cellStyle name="60% - Accent6 6" xfId="122"/>
    <cellStyle name="60% - Énfasis1" xfId="123"/>
    <cellStyle name="60% - Énfasis2" xfId="124"/>
    <cellStyle name="60% - Énfasis3" xfId="125"/>
    <cellStyle name="60% - Énfasis4" xfId="126"/>
    <cellStyle name="60% - Énfasis5" xfId="127"/>
    <cellStyle name="60% - Énfasis6" xfId="128"/>
    <cellStyle name="600 PN" xfId="129"/>
    <cellStyle name="700 PN" xfId="130"/>
    <cellStyle name="A Big heading" xfId="131"/>
    <cellStyle name="A body text" xfId="132"/>
    <cellStyle name="A smaller heading" xfId="133"/>
    <cellStyle name="A3 297 x 420 mm" xfId="134"/>
    <cellStyle name="Accent1 2" xfId="135"/>
    <cellStyle name="Accent1 3" xfId="136"/>
    <cellStyle name="Accent1 4" xfId="137"/>
    <cellStyle name="Accent1 5" xfId="138"/>
    <cellStyle name="Accent1 6" xfId="139"/>
    <cellStyle name="Accent2 2" xfId="140"/>
    <cellStyle name="Accent2 3" xfId="141"/>
    <cellStyle name="Accent2 4" xfId="142"/>
    <cellStyle name="Accent2 5" xfId="143"/>
    <cellStyle name="Accent2 6" xfId="144"/>
    <cellStyle name="Accent3 2" xfId="145"/>
    <cellStyle name="Accent3 3" xfId="146"/>
    <cellStyle name="Accent3 4" xfId="147"/>
    <cellStyle name="Accent3 5" xfId="148"/>
    <cellStyle name="Accent3 6" xfId="149"/>
    <cellStyle name="Accent4 2" xfId="150"/>
    <cellStyle name="Accent4 3" xfId="151"/>
    <cellStyle name="Accent4 4" xfId="152"/>
    <cellStyle name="Accent4 5" xfId="153"/>
    <cellStyle name="Accent4 6" xfId="154"/>
    <cellStyle name="Accent5 2" xfId="155"/>
    <cellStyle name="Accent5 3" xfId="156"/>
    <cellStyle name="Accent5 4" xfId="157"/>
    <cellStyle name="Accent5 5" xfId="158"/>
    <cellStyle name="Accent5 6" xfId="159"/>
    <cellStyle name="Accent6 2" xfId="160"/>
    <cellStyle name="Accent6 3" xfId="161"/>
    <cellStyle name="Accent6 4" xfId="162"/>
    <cellStyle name="Accent6 5" xfId="163"/>
    <cellStyle name="Accent6 6" xfId="164"/>
    <cellStyle name="amount" xfId="165"/>
    <cellStyle name="args.style" xfId="166"/>
    <cellStyle name="Bad 2" xfId="167"/>
    <cellStyle name="Bad 3" xfId="168"/>
    <cellStyle name="Bad 4" xfId="169"/>
    <cellStyle name="Bad 5" xfId="170"/>
    <cellStyle name="Bad 6" xfId="171"/>
    <cellStyle name="blue" xfId="172"/>
    <cellStyle name="Body" xfId="173"/>
    <cellStyle name="bold big" xfId="174"/>
    <cellStyle name="bold bot bord" xfId="175"/>
    <cellStyle name="bold underline" xfId="176"/>
    <cellStyle name="Border Bottom Thick" xfId="177"/>
    <cellStyle name="Border Top Thin" xfId="178"/>
    <cellStyle name="Buena" xfId="179"/>
    <cellStyle name="C:\Data\MS\Excel" xfId="180"/>
    <cellStyle name="Calc Currency (0)" xfId="181"/>
    <cellStyle name="Calc Currency (2)" xfId="182"/>
    <cellStyle name="Calc Percent (0)" xfId="183"/>
    <cellStyle name="Calc Percent (1)" xfId="184"/>
    <cellStyle name="Calc Percent (2)" xfId="185"/>
    <cellStyle name="Calc Units (0)" xfId="186"/>
    <cellStyle name="Calc Units (1)" xfId="187"/>
    <cellStyle name="Calc Units (2)" xfId="188"/>
    <cellStyle name="Calculation 2" xfId="189"/>
    <cellStyle name="Calculation 3" xfId="190"/>
    <cellStyle name="Calculation 4" xfId="191"/>
    <cellStyle name="Calculation 5" xfId="192"/>
    <cellStyle name="Calculation 6" xfId="193"/>
    <cellStyle name="Cálculo 2" xfId="194"/>
    <cellStyle name="Celda de comprobación" xfId="195"/>
    <cellStyle name="Celda vinculada" xfId="196"/>
    <cellStyle name="Check Cell 2" xfId="197"/>
    <cellStyle name="Check Cell 3" xfId="198"/>
    <cellStyle name="Check Cell 4" xfId="199"/>
    <cellStyle name="Check Cell 5" xfId="200"/>
    <cellStyle name="Check Cell 6" xfId="201"/>
    <cellStyle name="Comma" xfId="3" builtinId="3"/>
    <cellStyle name="Comma [00]" xfId="202"/>
    <cellStyle name="Comma 2" xfId="203"/>
    <cellStyle name="Comma 2 2" xfId="204"/>
    <cellStyle name="Comma 2 3" xfId="205"/>
    <cellStyle name="Comma 3" xfId="206"/>
    <cellStyle name="Comma 4" xfId="207"/>
    <cellStyle name="Comma0" xfId="208"/>
    <cellStyle name="Comma0 - Estilo2" xfId="209"/>
    <cellStyle name="Currency [00]" xfId="210"/>
    <cellStyle name="Currency 2" xfId="211"/>
    <cellStyle name="Currency 2 2" xfId="212"/>
    <cellStyle name="Currency 2 3" xfId="213"/>
    <cellStyle name="Currency 2 4" xfId="214"/>
    <cellStyle name="Currency 3" xfId="215"/>
    <cellStyle name="Currency 4" xfId="216"/>
    <cellStyle name="Currency 4 2" xfId="217"/>
    <cellStyle name="Currency 5" xfId="218"/>
    <cellStyle name="Currency 6" xfId="503"/>
    <cellStyle name="Currency0" xfId="219"/>
    <cellStyle name="custom" xfId="220"/>
    <cellStyle name="d" xfId="221"/>
    <cellStyle name="DataEntry" xfId="222"/>
    <cellStyle name="Date" xfId="223"/>
    <cellStyle name="Date - Estilo1" xfId="224"/>
    <cellStyle name="Date Short" xfId="225"/>
    <cellStyle name="Date_Forecast 2004 _budget high level" xfId="226"/>
    <cellStyle name="DELTA" xfId="227"/>
    <cellStyle name="Diseño" xfId="228"/>
    <cellStyle name="Encabezado 4" xfId="229"/>
    <cellStyle name="Énfasis1" xfId="230"/>
    <cellStyle name="Énfasis2" xfId="231"/>
    <cellStyle name="Énfasis3" xfId="232"/>
    <cellStyle name="Énfasis4" xfId="233"/>
    <cellStyle name="Énfasis5" xfId="234"/>
    <cellStyle name="Énfasis6" xfId="235"/>
    <cellStyle name="Enter Currency (0)" xfId="236"/>
    <cellStyle name="Enter Currency (2)" xfId="237"/>
    <cellStyle name="Enter Units (0)" xfId="238"/>
    <cellStyle name="Enter Units (1)" xfId="239"/>
    <cellStyle name="Enter Units (2)" xfId="240"/>
    <cellStyle name="Entrada 2" xfId="241"/>
    <cellStyle name="Estilo 1" xfId="242"/>
    <cellStyle name="Estilo 2" xfId="243"/>
    <cellStyle name="Explanatory Text 2" xfId="244"/>
    <cellStyle name="Explanatory Text 3" xfId="245"/>
    <cellStyle name="Explanatory Text 4" xfId="246"/>
    <cellStyle name="Explanatory Text 5" xfId="247"/>
    <cellStyle name="Explanatory Text 6" xfId="248"/>
    <cellStyle name="f" xfId="249"/>
    <cellStyle name="Fixed" xfId="250"/>
    <cellStyle name="Good 2" xfId="251"/>
    <cellStyle name="Good 3" xfId="252"/>
    <cellStyle name="Good 4" xfId="253"/>
    <cellStyle name="Good 5" xfId="254"/>
    <cellStyle name="Good 6" xfId="255"/>
    <cellStyle name="Grey" xfId="256"/>
    <cellStyle name="Header1" xfId="257"/>
    <cellStyle name="Header2" xfId="258"/>
    <cellStyle name="Heading 1 2" xfId="259"/>
    <cellStyle name="Heading 1 3" xfId="260"/>
    <cellStyle name="Heading 1 4" xfId="261"/>
    <cellStyle name="Heading 1 5" xfId="262"/>
    <cellStyle name="Heading 1 6" xfId="263"/>
    <cellStyle name="Heading 2 2" xfId="264"/>
    <cellStyle name="Heading 2 3" xfId="265"/>
    <cellStyle name="Heading 2 4" xfId="266"/>
    <cellStyle name="Heading 2 5" xfId="267"/>
    <cellStyle name="Heading 2 6" xfId="268"/>
    <cellStyle name="Heading 3 2" xfId="269"/>
    <cellStyle name="Heading 3 3" xfId="270"/>
    <cellStyle name="Heading 3 4" xfId="271"/>
    <cellStyle name="Heading 3 5" xfId="272"/>
    <cellStyle name="Heading 3 6" xfId="273"/>
    <cellStyle name="Heading 4 2" xfId="274"/>
    <cellStyle name="Heading 4 3" xfId="275"/>
    <cellStyle name="Heading 4 4" xfId="276"/>
    <cellStyle name="Heading 4 5" xfId="277"/>
    <cellStyle name="Heading 4 6" xfId="278"/>
    <cellStyle name="Helv 10 Bold" xfId="279"/>
    <cellStyle name="Helv 12 Bold" xfId="280"/>
    <cellStyle name="HiLite" xfId="281"/>
    <cellStyle name="Hipervínculo_ArgentinaPackage_Jul_07 budget" xfId="282"/>
    <cellStyle name="Hyperlink 2" xfId="283"/>
    <cellStyle name="Incorrecto" xfId="284"/>
    <cellStyle name="Input [yellow]" xfId="285"/>
    <cellStyle name="Input 2" xfId="286"/>
    <cellStyle name="Input 3" xfId="287"/>
    <cellStyle name="Input 4" xfId="288"/>
    <cellStyle name="Input 5" xfId="289"/>
    <cellStyle name="Input 6" xfId="290"/>
    <cellStyle name="Input Cell" xfId="291"/>
    <cellStyle name="Link Currency (0)" xfId="292"/>
    <cellStyle name="Link Currency (2)" xfId="293"/>
    <cellStyle name="Link Units (0)" xfId="294"/>
    <cellStyle name="Link Units (1)" xfId="295"/>
    <cellStyle name="Link Units (2)" xfId="296"/>
    <cellStyle name="Linked Cell 2" xfId="297"/>
    <cellStyle name="Linked Cell 3" xfId="298"/>
    <cellStyle name="Linked Cell 4" xfId="299"/>
    <cellStyle name="Linked Cell 5" xfId="300"/>
    <cellStyle name="Linked Cell 6" xfId="301"/>
    <cellStyle name="Locked" xfId="302"/>
    <cellStyle name="Millares [0]_Altas Junio por Plan" xfId="303"/>
    <cellStyle name="Millares_Altas Junio por Plan" xfId="304"/>
    <cellStyle name="Milliers [0]_!!!GO" xfId="305"/>
    <cellStyle name="Milliers_!!!GO" xfId="306"/>
    <cellStyle name="Moeda 2" xfId="307"/>
    <cellStyle name="Moeda 2 2" xfId="308"/>
    <cellStyle name="Moeda 3" xfId="309"/>
    <cellStyle name="Moneda [0]_Abril" xfId="310"/>
    <cellStyle name="Moneda_Abril" xfId="311"/>
    <cellStyle name="Monétaire [0]_!!!GO" xfId="312"/>
    <cellStyle name="Monétaire_!!!GO" xfId="313"/>
    <cellStyle name="Neutral 2" xfId="314"/>
    <cellStyle name="Neutral 3" xfId="315"/>
    <cellStyle name="Neutral 4" xfId="316"/>
    <cellStyle name="Neutral 5" xfId="317"/>
    <cellStyle name="Neutral 6" xfId="318"/>
    <cellStyle name="New Times Roman" xfId="319"/>
    <cellStyle name="no dec" xfId="320"/>
    <cellStyle name="Normal" xfId="0" builtinId="0"/>
    <cellStyle name="Normal - Estilo1" xfId="321"/>
    <cellStyle name="Normal - Estilo2" xfId="322"/>
    <cellStyle name="Normal - Estilo3" xfId="323"/>
    <cellStyle name="Normal - Estilo4" xfId="324"/>
    <cellStyle name="Normal - Estilo5" xfId="325"/>
    <cellStyle name="Normal - Estilo6" xfId="326"/>
    <cellStyle name="Normal - Estilo7" xfId="327"/>
    <cellStyle name="Normal - Estilo8" xfId="328"/>
    <cellStyle name="Normal - Style1" xfId="329"/>
    <cellStyle name="Normal 10" xfId="330"/>
    <cellStyle name="Normal 10 2" xfId="331"/>
    <cellStyle name="Normal 10_Copy of Peru IT_1 marzo Transferv2" xfId="332"/>
    <cellStyle name="Normal 11" xfId="333"/>
    <cellStyle name="Normal 12" xfId="334"/>
    <cellStyle name="Normal 12 2" xfId="335"/>
    <cellStyle name="Normal 13" xfId="336"/>
    <cellStyle name="Normal 14" xfId="337"/>
    <cellStyle name="Normal 15" xfId="338"/>
    <cellStyle name="Normal 16" xfId="339"/>
    <cellStyle name="Normal 2" xfId="1"/>
    <cellStyle name="Normal 2 2" xfId="340"/>
    <cellStyle name="Normal 2 2 10" xfId="341"/>
    <cellStyle name="Normal 2 2 11" xfId="342"/>
    <cellStyle name="Normal 2 2 12" xfId="343"/>
    <cellStyle name="Normal 2 2 13" xfId="344"/>
    <cellStyle name="Normal 2 2 14" xfId="345"/>
    <cellStyle name="Normal 2 2 15" xfId="346"/>
    <cellStyle name="Normal 2 2 2" xfId="347"/>
    <cellStyle name="Normal 2 2 3" xfId="348"/>
    <cellStyle name="Normal 2 2 4" xfId="349"/>
    <cellStyle name="Normal 2 2 5" xfId="350"/>
    <cellStyle name="Normal 2 2 6" xfId="351"/>
    <cellStyle name="Normal 2 2 7" xfId="352"/>
    <cellStyle name="Normal 2 2 8" xfId="353"/>
    <cellStyle name="Normal 2 2 9" xfId="354"/>
    <cellStyle name="Normal 2 3" xfId="355"/>
    <cellStyle name="Normal 2 4" xfId="356"/>
    <cellStyle name="Normal 2 4 10" xfId="357"/>
    <cellStyle name="Normal 2 4 11" xfId="358"/>
    <cellStyle name="Normal 2 4 12" xfId="359"/>
    <cellStyle name="Normal 2 4 2" xfId="360"/>
    <cellStyle name="Normal 2 4 3" xfId="361"/>
    <cellStyle name="Normal 2 4 4" xfId="362"/>
    <cellStyle name="Normal 2 4 5" xfId="363"/>
    <cellStyle name="Normal 2 4 6" xfId="364"/>
    <cellStyle name="Normal 2 4 7" xfId="365"/>
    <cellStyle name="Normal 2 4 8" xfId="366"/>
    <cellStyle name="Normal 2 4 9" xfId="367"/>
    <cellStyle name="Normal 2 5" xfId="368"/>
    <cellStyle name="Normal 2 5 10" xfId="369"/>
    <cellStyle name="Normal 2 5 11" xfId="370"/>
    <cellStyle name="Normal 2 5 12" xfId="371"/>
    <cellStyle name="Normal 2 5 2" xfId="372"/>
    <cellStyle name="Normal 2 5 3" xfId="373"/>
    <cellStyle name="Normal 2 5 4" xfId="374"/>
    <cellStyle name="Normal 2 5 5" xfId="375"/>
    <cellStyle name="Normal 2 5 6" xfId="376"/>
    <cellStyle name="Normal 2 5 7" xfId="377"/>
    <cellStyle name="Normal 2 5 8" xfId="378"/>
    <cellStyle name="Normal 2 5 9" xfId="379"/>
    <cellStyle name="Normal 2 6" xfId="380"/>
    <cellStyle name="Normal 2 6 2" xfId="381"/>
    <cellStyle name="Normal 2 7" xfId="382"/>
    <cellStyle name="Normal 3" xfId="2"/>
    <cellStyle name="Normal 3 10" xfId="383"/>
    <cellStyle name="Normal 3 11" xfId="384"/>
    <cellStyle name="Normal 3 12" xfId="385"/>
    <cellStyle name="Normal 3 2" xfId="386"/>
    <cellStyle name="Normal 3 3" xfId="387"/>
    <cellStyle name="Normal 3 4" xfId="388"/>
    <cellStyle name="Normal 3 5" xfId="389"/>
    <cellStyle name="Normal 3 6" xfId="390"/>
    <cellStyle name="Normal 3 7" xfId="391"/>
    <cellStyle name="Normal 3 8" xfId="392"/>
    <cellStyle name="Normal 3 9" xfId="393"/>
    <cellStyle name="Normal 3_NII IT and NW Summary - Labor Termination Outlays (v18 Detailed)" xfId="394"/>
    <cellStyle name="Normal 4" xfId="395"/>
    <cellStyle name="Normal 4 2" xfId="396"/>
    <cellStyle name="Normal 5" xfId="397"/>
    <cellStyle name="Normal 5 2" xfId="398"/>
    <cellStyle name="Normal 5 3" xfId="399"/>
    <cellStyle name="Normal 5_Copy of Peru IT_1 marzo Transferv2" xfId="400"/>
    <cellStyle name="Normal 6" xfId="401"/>
    <cellStyle name="Normal 6 2" xfId="402"/>
    <cellStyle name="Normal 7" xfId="403"/>
    <cellStyle name="Normal 7 2" xfId="404"/>
    <cellStyle name="Normal 8" xfId="405"/>
    <cellStyle name="Normal 8 2" xfId="406"/>
    <cellStyle name="Normal 9" xfId="407"/>
    <cellStyle name="Notas" xfId="408"/>
    <cellStyle name="Note 2" xfId="409"/>
    <cellStyle name="Note 3" xfId="410"/>
    <cellStyle name="Note 4" xfId="411"/>
    <cellStyle name="Note 5" xfId="412"/>
    <cellStyle name="Note 6" xfId="413"/>
    <cellStyle name="Œ…‹æØ‚è [0.00]_laroux" xfId="414"/>
    <cellStyle name="Œ…‹æØ‚è_laroux" xfId="415"/>
    <cellStyle name="ON HOLD" xfId="416"/>
    <cellStyle name="Output 2" xfId="417"/>
    <cellStyle name="Output 3" xfId="418"/>
    <cellStyle name="Output 4" xfId="419"/>
    <cellStyle name="Output 5" xfId="420"/>
    <cellStyle name="Output 6" xfId="421"/>
    <cellStyle name="Output Amounts" xfId="422"/>
    <cellStyle name="Output Column Headings" xfId="423"/>
    <cellStyle name="Output Line Items" xfId="424"/>
    <cellStyle name="Output Report Heading" xfId="425"/>
    <cellStyle name="Output Report Title" xfId="426"/>
    <cellStyle name="paint" xfId="427"/>
    <cellStyle name="Percent [0]" xfId="428"/>
    <cellStyle name="Percent [00]" xfId="429"/>
    <cellStyle name="Percent [2]" xfId="430"/>
    <cellStyle name="Percent 2" xfId="431"/>
    <cellStyle name="Percent 2 2" xfId="432"/>
    <cellStyle name="Percent 2 3" xfId="433"/>
    <cellStyle name="Percent 2 4" xfId="434"/>
    <cellStyle name="Percent 2 5" xfId="435"/>
    <cellStyle name="Percent 29" xfId="436"/>
    <cellStyle name="Percent 3" xfId="437"/>
    <cellStyle name="Percent 4" xfId="438"/>
    <cellStyle name="Percent-0.0%" xfId="439"/>
    <cellStyle name="Percent-no dec" xfId="440"/>
    <cellStyle name="Porcentagem 11 2" xfId="441"/>
    <cellStyle name="Porcentagem 2" xfId="442"/>
    <cellStyle name="Porcentagem 3" xfId="443"/>
    <cellStyle name="Porcentagem 3 2" xfId="444"/>
    <cellStyle name="PrePop Currency (0)" xfId="445"/>
    <cellStyle name="PrePop Currency (2)" xfId="446"/>
    <cellStyle name="PrePop Units (0)" xfId="447"/>
    <cellStyle name="PrePop Units (1)" xfId="448"/>
    <cellStyle name="PrePop Units (2)" xfId="449"/>
    <cellStyle name="PSChar" xfId="450"/>
    <cellStyle name="PSDate" xfId="451"/>
    <cellStyle name="PSDec" xfId="452"/>
    <cellStyle name="PSHeading" xfId="453"/>
    <cellStyle name="PSInt" xfId="454"/>
    <cellStyle name="PSSpacer" xfId="455"/>
    <cellStyle name="Red" xfId="456"/>
    <cellStyle name="robs" xfId="457"/>
    <cellStyle name="Salida" xfId="458"/>
    <cellStyle name="Separador de milhares 2" xfId="459"/>
    <cellStyle name="Separador de milhares 2 2" xfId="460"/>
    <cellStyle name="Separador de milhares 2 3" xfId="461"/>
    <cellStyle name="Separador de milhares 2 4" xfId="462"/>
    <cellStyle name="Separador de milhares 3" xfId="463"/>
    <cellStyle name="Separador de milhares 4" xfId="464"/>
    <cellStyle name="Separador de milhares 4 2" xfId="465"/>
    <cellStyle name="shade" xfId="466"/>
    <cellStyle name="STANDARD" xfId="467"/>
    <cellStyle name="StringWrapLeft" xfId="468"/>
    <cellStyle name="Style 1" xfId="469"/>
    <cellStyle name="Style 1 2" xfId="470"/>
    <cellStyle name="Style 1 3" xfId="471"/>
    <cellStyle name="Style 1 4" xfId="472"/>
    <cellStyle name="Text Indent A" xfId="473"/>
    <cellStyle name="Text Indent B" xfId="474"/>
    <cellStyle name="Text Indent C" xfId="475"/>
    <cellStyle name="Texto de advertencia" xfId="476"/>
    <cellStyle name="Texto explicativo 2" xfId="477"/>
    <cellStyle name="Title 2" xfId="478"/>
    <cellStyle name="Title 3" xfId="479"/>
    <cellStyle name="Title 4" xfId="480"/>
    <cellStyle name="Title 5" xfId="481"/>
    <cellStyle name="Title 6" xfId="482"/>
    <cellStyle name="Título 1 2" xfId="483"/>
    <cellStyle name="Título 2 2" xfId="484"/>
    <cellStyle name="Título 3 2" xfId="485"/>
    <cellStyle name="Título 5" xfId="486"/>
    <cellStyle name="Total 2" xfId="487"/>
    <cellStyle name="Total 3" xfId="488"/>
    <cellStyle name="Total 4" xfId="489"/>
    <cellStyle name="Total 5" xfId="490"/>
    <cellStyle name="Total 6" xfId="491"/>
    <cellStyle name="UNLOCKED" xfId="492"/>
    <cellStyle name="UN-Locked" xfId="493"/>
    <cellStyle name="UNLOCKED_Paragon" xfId="494"/>
    <cellStyle name="Vírgula 2" xfId="495"/>
    <cellStyle name="Warning Text 2" xfId="496"/>
    <cellStyle name="Warning Text 3" xfId="497"/>
    <cellStyle name="Warning Text 4" xfId="498"/>
    <cellStyle name="Warning Text 5" xfId="499"/>
    <cellStyle name="Warning Text 6" xfId="500"/>
    <cellStyle name="桁区切り_ContractSample" xfId="501"/>
    <cellStyle name="標準_ContractSample" xfId="502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'Data Staging_Resources'!$J$3:$X$3</c:f>
              <c:strCache>
                <c:ptCount val="1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'Data Staging_Resources'!$J$9:$X$9</c:f>
              <c:numCache>
                <c:formatCode>0</c:formatCode>
                <c:ptCount val="15"/>
                <c:pt idx="0">
                  <c:v>0</c:v>
                </c:pt>
                <c:pt idx="1">
                  <c:v>28.881044571428603</c:v>
                </c:pt>
                <c:pt idx="2">
                  <c:v>22.449615065913388</c:v>
                </c:pt>
                <c:pt idx="3">
                  <c:v>16.905923595505634</c:v>
                </c:pt>
                <c:pt idx="4">
                  <c:v>16.811477094972084</c:v>
                </c:pt>
                <c:pt idx="5">
                  <c:v>16.625714917127087</c:v>
                </c:pt>
                <c:pt idx="6">
                  <c:v>18.279278084714555</c:v>
                </c:pt>
                <c:pt idx="7">
                  <c:v>18.380829629629645</c:v>
                </c:pt>
                <c:pt idx="8">
                  <c:v>2.7087808988764039</c:v>
                </c:pt>
                <c:pt idx="9">
                  <c:v>2.7395624999999995</c:v>
                </c:pt>
                <c:pt idx="10">
                  <c:v>2.7552171428571421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  <c:marker>
            <c:symbol val="none"/>
          </c:marker>
          <c:cat>
            <c:strRef>
              <c:f>'Data Staging_Resources'!$J$3:$X$3</c:f>
              <c:strCache>
                <c:ptCount val="1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</c:strCache>
            </c:strRef>
          </c:cat>
          <c:val>
            <c:numRef>
              <c:f>'Data Staging_Resources'!$J$10:$X$10</c:f>
              <c:numCache>
                <c:formatCode>0</c:formatCode>
                <c:ptCount val="1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66880"/>
        <c:axId val="95868416"/>
      </c:lineChart>
      <c:catAx>
        <c:axId val="95866880"/>
        <c:scaling>
          <c:orientation val="minMax"/>
        </c:scaling>
        <c:delete val="0"/>
        <c:axPos val="b"/>
        <c:majorTickMark val="out"/>
        <c:minorTickMark val="none"/>
        <c:tickLblPos val="nextTo"/>
        <c:crossAx val="95868416"/>
        <c:crosses val="autoZero"/>
        <c:auto val="1"/>
        <c:lblAlgn val="ctr"/>
        <c:lblOffset val="100"/>
        <c:noMultiLvlLbl val="0"/>
      </c:catAx>
      <c:valAx>
        <c:axId val="958684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crossAx val="95866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 ERM_ERM Planning Template_033012_v1.0.xlsx]Data Staging_Risk (2)!PivotTable1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Release Risk Profile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Staging_Risk (2)'!$S$6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'Data Staging_Risk (2)'!$R$7:$R$11</c:f>
              <c:strCache>
                <c:ptCount val="4"/>
                <c:pt idx="0">
                  <c:v>09 - Major - 11/12</c:v>
                </c:pt>
                <c:pt idx="1">
                  <c:v>12 - Major - 02/13</c:v>
                </c:pt>
                <c:pt idx="2">
                  <c:v>One for each Release</c:v>
                </c:pt>
                <c:pt idx="3">
                  <c:v>(blank)</c:v>
                </c:pt>
              </c:strCache>
            </c:strRef>
          </c:cat>
          <c:val>
            <c:numRef>
              <c:f>'Data Staging_Risk (2)'!$S$7:$S$11</c:f>
              <c:numCache>
                <c:formatCode>General</c:formatCode>
                <c:ptCount val="4"/>
                <c:pt idx="0">
                  <c:v>20</c:v>
                </c:pt>
                <c:pt idx="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361088"/>
        <c:axId val="96371072"/>
      </c:barChart>
      <c:catAx>
        <c:axId val="96361088"/>
        <c:scaling>
          <c:orientation val="minMax"/>
        </c:scaling>
        <c:delete val="0"/>
        <c:axPos val="b"/>
        <c:majorTickMark val="out"/>
        <c:minorTickMark val="none"/>
        <c:tickLblPos val="nextTo"/>
        <c:crossAx val="96371072"/>
        <c:crosses val="autoZero"/>
        <c:auto val="1"/>
        <c:lblAlgn val="ctr"/>
        <c:lblOffset val="100"/>
        <c:noMultiLvlLbl val="0"/>
      </c:catAx>
      <c:valAx>
        <c:axId val="96371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63610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6</xdr:col>
      <xdr:colOff>57150</xdr:colOff>
      <xdr:row>54</xdr:row>
      <xdr:rowOff>133350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8150"/>
          <a:ext cx="8343900" cy="466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10</xdr:row>
      <xdr:rowOff>135591</xdr:rowOff>
    </xdr:from>
    <xdr:to>
      <xdr:col>24</xdr:col>
      <xdr:colOff>251191</xdr:colOff>
      <xdr:row>28</xdr:row>
      <xdr:rowOff>54909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404812</xdr:colOff>
      <xdr:row>5</xdr:row>
      <xdr:rowOff>27382</xdr:rowOff>
    </xdr:from>
    <xdr:to>
      <xdr:col>28</xdr:col>
      <xdr:colOff>595314</xdr:colOff>
      <xdr:row>27</xdr:row>
      <xdr:rowOff>59531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16.deloitteonline.com/Users/sabruce/AppData/Local/Microsoft/Windows/Temporary%20Internet%20Files/Content.Outlook/P9KKOOBX/Peru_Project%20Templates/P11-256%20-%20Consumption%20Control%20for%20VAS%20Servic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16.deloitteonline.com/Users/sabruce/AppData/Local/Microsoft/Windows/Temporary%20Internet%20Files/Content.Outlook/P9KKOOBX/Peru_Project%20Templates/P10-100%20-%20FREE%20UNITS%20Promotions%20by%20Account%20Size%20and%20Rate%20Pla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oitteteams.deloittenet.com/sites/rolebasedlearning/BAAC/Documents/BAAC%20Excel%20Template%20v2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Business_Case"/>
      <sheetName val="2_Business_Case_Cost_Input"/>
      <sheetName val="3_Business_Case_Benefit_Input"/>
      <sheetName val="4_Additional_Notes"/>
      <sheetName val="Setting_General"/>
      <sheetName val="Setting_IT"/>
      <sheetName val="Import"/>
    </sheetNames>
    <sheetDataSet>
      <sheetData sheetId="0">
        <row r="141">
          <cell r="B141" t="str">
            <v>Strategic Alignment</v>
          </cell>
        </row>
        <row r="142">
          <cell r="B142" t="str">
            <v>Window of Opportunity / Urgency - Timeframe</v>
          </cell>
        </row>
        <row r="143">
          <cell r="B143" t="str">
            <v>Window of Opportunity / Urgency - Benefit</v>
          </cell>
        </row>
        <row r="144">
          <cell r="B144" t="str">
            <v>Foundation Builder</v>
          </cell>
        </row>
        <row r="145">
          <cell r="B145" t="str">
            <v>Asset Value Support</v>
          </cell>
        </row>
        <row r="157">
          <cell r="B157" t="str">
            <v>Project Complexity - Dependencies</v>
          </cell>
        </row>
        <row r="158">
          <cell r="B158" t="str">
            <v>Resources Availability - Resources</v>
          </cell>
        </row>
        <row r="159">
          <cell r="B159" t="str">
            <v>Resources Availability - Availability</v>
          </cell>
        </row>
        <row r="160">
          <cell r="B160" t="str">
            <v>Technological / Technical Complexity - Degree of Change</v>
          </cell>
        </row>
        <row r="161">
          <cell r="B161" t="str">
            <v>Technological / Technical Complexity - Prior Experience</v>
          </cell>
        </row>
        <row r="162">
          <cell r="B162" t="str">
            <v>Market / Regulatory / Legal &amp; Political Risk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Field List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_Business_Case"/>
      <sheetName val="2_Business_Case_Cost_Input"/>
      <sheetName val="3_Business_Case_Benefit_Input"/>
      <sheetName val="4_Additional_Notes"/>
      <sheetName val="Setting_General"/>
      <sheetName val="Setting_IT"/>
      <sheetName val="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F2" t="str">
            <v>Select Type of Application Impact</v>
          </cell>
        </row>
        <row r="3">
          <cell r="F3" t="str">
            <v>Addition of new application</v>
          </cell>
        </row>
        <row r="4">
          <cell r="F4" t="str">
            <v>Addition of new sub-module</v>
          </cell>
        </row>
        <row r="5">
          <cell r="F5" t="str">
            <v>Modification: Configuration changes</v>
          </cell>
        </row>
        <row r="6">
          <cell r="F6" t="str">
            <v>Modification: Database changes</v>
          </cell>
        </row>
        <row r="7">
          <cell r="F7" t="str">
            <v>Modification: Code changes to enhance functionality</v>
          </cell>
        </row>
        <row r="8">
          <cell r="F8" t="str">
            <v>Modification: GUI changes</v>
          </cell>
        </row>
        <row r="9">
          <cell r="F9" t="str">
            <v>Modification: Interface updates to upstream and/or downstream components</v>
          </cell>
        </row>
        <row r="10">
          <cell r="F10" t="str">
            <v>Modification: Other changes</v>
          </cell>
        </row>
        <row r="11">
          <cell r="F11" t="str">
            <v>Decommissioning</v>
          </cell>
        </row>
      </sheetData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XT Table of Contents"/>
      <sheetName val="Formatting Guidelines"/>
      <sheetName val="0.A Blank Sheet"/>
      <sheetName val="0.B Blank Table"/>
      <sheetName val="0.C PPT Tables"/>
      <sheetName val="0.D Graphs"/>
      <sheetName val="0.E Cover Sheet"/>
      <sheetName val="0.F Client Table of Contents"/>
      <sheetName val="1.A PMO - Issue Log"/>
      <sheetName val="1.B PMO - Risk Log"/>
      <sheetName val="1.C PMO - Contact List"/>
      <sheetName val="1.D PMO - Status Report"/>
      <sheetName val="1.E PMO - Change Request Form"/>
      <sheetName val="1.F PMO - Change Request Log"/>
      <sheetName val="1.G PMO - Meeting Schedule"/>
      <sheetName val="1.H PMO - Meeting Minutes"/>
      <sheetName val="1.I PMO - Invoice Tracker"/>
      <sheetName val="1.J PMO - Client Invoice"/>
      <sheetName val="1.K PMO - Data Request "/>
      <sheetName val="1.L PMO - Workplan"/>
      <sheetName val="1.M PMO - PTO Schedule"/>
      <sheetName val="1.N PMO - Monthly Calendar"/>
      <sheetName val="2.A Business Case Summary"/>
      <sheetName val="2.B Summary Overview"/>
      <sheetName val="2.C Benefits Breakdown"/>
      <sheetName val="2.D Costs Breakdown"/>
      <sheetName val="S.1 Best Practices - Biz Case"/>
      <sheetName val="S.2 Best Practices - Modeling"/>
      <sheetName val="S.3 Best Practices - Graphs"/>
      <sheetName val="S.4 Demo - Data Validation"/>
      <sheetName val="S.5 Demo - Advanced Filter"/>
      <sheetName val="S.6 Reference - Functions"/>
      <sheetName val="S.7 Reference - Shortcut Keys"/>
      <sheetName val="S.8 Macro 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78">
          <cell r="D278">
            <v>0</v>
          </cell>
        </row>
        <row r="279">
          <cell r="D279" t="str">
            <v>All</v>
          </cell>
        </row>
        <row r="280">
          <cell r="D280" t="str">
            <v>Sarah Silvers</v>
          </cell>
        </row>
        <row r="281">
          <cell r="D281" t="str">
            <v>Stephanie Wilson</v>
          </cell>
        </row>
        <row r="282">
          <cell r="D282" t="str">
            <v>Patrick Stewart</v>
          </cell>
        </row>
        <row r="283">
          <cell r="D283" t="str">
            <v>Steve Wilcox</v>
          </cell>
        </row>
        <row r="284">
          <cell r="D284" t="str">
            <v>Beverly Smart</v>
          </cell>
        </row>
        <row r="285">
          <cell r="D285" t="str">
            <v>Ben Bogart</v>
          </cell>
        </row>
        <row r="286">
          <cell r="D286" t="str">
            <v>Harry Paulson</v>
          </cell>
        </row>
        <row r="287">
          <cell r="D287" t="str">
            <v>Dan Johnson</v>
          </cell>
        </row>
        <row r="288">
          <cell r="D288" t="str">
            <v>John Smith</v>
          </cell>
        </row>
      </sheetData>
      <sheetData sheetId="31"/>
      <sheetData sheetId="32"/>
      <sheetData sheetId="33"/>
      <sheetData sheetId="3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0990.493280092589" createdVersion="4" refreshedVersion="4" minRefreshableVersion="3" recordCount="6">
  <cacheSource type="worksheet">
    <worksheetSource ref="A4:P10" sheet="Data Staging_Risk"/>
  </cacheSource>
  <cacheFields count="16">
    <cacheField name="Project Name" numFmtId="0">
      <sharedItems containsBlank="1"/>
    </cacheField>
    <cacheField name="Baseline Release" numFmtId="0">
      <sharedItems containsBlank="1"/>
    </cacheField>
    <cacheField name="Anchors &amp; Constraints" numFmtId="0">
      <sharedItems containsBlank="1"/>
    </cacheField>
    <cacheField name="Project Status" numFmtId="0">
      <sharedItems containsBlank="1"/>
    </cacheField>
    <cacheField name="System Impacts" numFmtId="0">
      <sharedItems containsBlank="1"/>
    </cacheField>
    <cacheField name="Proposed Release" numFmtId="0">
      <sharedItems containsBlank="1"/>
    </cacheField>
    <cacheField name="Resource Loading" numFmtId="0">
      <sharedItems containsString="0" containsBlank="1" containsNumber="1" containsInteger="1" minValue="0" maxValue="0"/>
    </cacheField>
    <cacheField name="Target Release" numFmtId="0">
      <sharedItems containsBlank="1" containsMixedTypes="1" containsNumber="1" containsInteger="1" minValue="0" maxValue="0"/>
    </cacheField>
    <cacheField name="Risk Normalization" numFmtId="0">
      <sharedItems containsNonDate="0" containsString="0" containsBlank="1"/>
    </cacheField>
    <cacheField name="Target Release2" numFmtId="0">
      <sharedItems containsBlank="1" count="4">
        <s v="12 - Major - 02/13"/>
        <s v="09 - Major - 11/12"/>
        <m/>
        <s v="One for each Release"/>
      </sharedItems>
    </cacheField>
    <cacheField name="Dependencies" numFmtId="0">
      <sharedItems containsNonDate="0" containsString="0" containsBlank="1"/>
    </cacheField>
    <cacheField name="Budget" numFmtId="6">
      <sharedItems containsString="0" containsBlank="1" containsNumber="1" minValue="0" maxValue="1293531.3029760609"/>
    </cacheField>
    <cacheField name="FTE's" numFmtId="1">
      <sharedItems containsString="0" containsBlank="1" containsNumber="1" minValue="0" maxValue="86.235420198404057"/>
    </cacheField>
    <cacheField name="System Impact" numFmtId="1">
      <sharedItems containsString="0" containsBlank="1" containsNumber="1" containsInteger="1" minValue="0" maxValue="1"/>
    </cacheField>
    <cacheField name="Dependencies2" numFmtId="0">
      <sharedItems containsString="0" containsBlank="1" containsNumber="1" containsInteger="1" minValue="1" maxValue="1"/>
    </cacheField>
    <cacheField name="TOTAL RISK SCORE" numFmtId="1">
      <sharedItems containsString="0" containsBlank="1" containsNumber="1" containsInteger="1" minValue="6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s v="3G Anatel KPI"/>
    <s v="08 - Oct/12"/>
    <s v="Anchor"/>
    <s v="On Track"/>
    <s v="Major Candidate"/>
    <s v="12 - Major - 02/13"/>
    <n v="0"/>
    <n v="0"/>
    <m/>
    <x v="0"/>
    <m/>
    <n v="946096.25183815567"/>
    <n v="63.07308345587704"/>
    <n v="1"/>
    <n v="1"/>
    <n v="12"/>
  </r>
  <r>
    <s v="3G BI/DW (MIT)"/>
    <s v="05 - Jul/12"/>
    <s v="Anchor"/>
    <s v="On Track"/>
    <s v="Minor Candidate"/>
    <s v="09 - Major - 11/12"/>
    <n v="0"/>
    <n v="0"/>
    <m/>
    <x v="1"/>
    <m/>
    <n v="1293531.3029760609"/>
    <n v="86.235420198404057"/>
    <n v="1"/>
    <n v="1"/>
    <n v="14"/>
  </r>
  <r>
    <s v="3G Bill Checkout"/>
    <s v="0 - TBD"/>
    <s v="Anchor"/>
    <s v="On Track"/>
    <s v="Minor Candidate"/>
    <s v="09 - Major - 11/12"/>
    <n v="0"/>
    <n v="0"/>
    <m/>
    <x v="1"/>
    <m/>
    <n v="0"/>
    <n v="0"/>
    <n v="0"/>
    <m/>
    <n v="6"/>
  </r>
  <r>
    <m/>
    <m/>
    <m/>
    <m/>
    <m/>
    <m/>
    <m/>
    <m/>
    <m/>
    <x v="2"/>
    <m/>
    <m/>
    <m/>
    <m/>
    <m/>
    <m/>
  </r>
  <r>
    <m/>
    <m/>
    <m/>
    <m/>
    <m/>
    <m/>
    <m/>
    <m/>
    <m/>
    <x v="2"/>
    <m/>
    <m/>
    <m/>
    <m/>
    <m/>
    <m/>
  </r>
  <r>
    <s v="Placeholder"/>
    <s v="One for each Release"/>
    <m/>
    <m/>
    <m/>
    <s v="One for each Release"/>
    <m/>
    <s v="One for each Release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R6:S11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ISK SCORE" fld="15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6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1" sqref="A11"/>
    </sheetView>
  </sheetViews>
  <sheetFormatPr defaultRowHeight="12.75"/>
  <cols>
    <col min="1" max="1" width="30.28515625" style="13" customWidth="1"/>
    <col min="2" max="2" width="7.5703125" style="13" bestFit="1" customWidth="1"/>
    <col min="3" max="3" width="9.5703125" style="13" bestFit="1" customWidth="1"/>
    <col min="4" max="4" width="10.7109375" style="13" bestFit="1" customWidth="1"/>
    <col min="5" max="5" width="14.42578125" style="13" bestFit="1" customWidth="1"/>
    <col min="6" max="6" width="11.5703125" style="13" bestFit="1" customWidth="1"/>
    <col min="7" max="7" width="10.7109375" style="13" bestFit="1" customWidth="1"/>
    <col min="8" max="8" width="13.85546875" style="13" bestFit="1" customWidth="1"/>
    <col min="9" max="9" width="13.140625" style="13" bestFit="1" customWidth="1"/>
    <col min="10" max="10" width="10.7109375" style="13" bestFit="1" customWidth="1"/>
    <col min="11" max="11" width="8.5703125" style="13" bestFit="1" customWidth="1"/>
    <col min="12" max="40" width="8.5703125" style="13" customWidth="1"/>
    <col min="41" max="41" width="15.140625" style="14" bestFit="1" customWidth="1"/>
    <col min="42" max="16384" width="9.140625" style="9"/>
  </cols>
  <sheetData>
    <row r="1" spans="1:4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8"/>
    </row>
    <row r="2" spans="1:41">
      <c r="A2" s="10"/>
      <c r="B2" s="10"/>
      <c r="C2" s="10"/>
      <c r="D2" s="10"/>
      <c r="E2" s="10"/>
      <c r="F2" s="10"/>
      <c r="G2" s="10"/>
      <c r="H2" s="10"/>
      <c r="I2" s="10"/>
      <c r="J2" s="10"/>
      <c r="K2" s="42" t="s">
        <v>60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42" t="s">
        <v>61</v>
      </c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11"/>
    </row>
    <row r="3" spans="1:41" s="16" customFormat="1">
      <c r="A3" s="30" t="s">
        <v>3</v>
      </c>
      <c r="B3" s="30" t="s">
        <v>17</v>
      </c>
      <c r="C3" s="30" t="s">
        <v>37</v>
      </c>
      <c r="D3" s="30" t="s">
        <v>4</v>
      </c>
      <c r="E3" s="30" t="s">
        <v>55</v>
      </c>
      <c r="F3" s="30" t="s">
        <v>56</v>
      </c>
      <c r="G3" s="30" t="s">
        <v>57</v>
      </c>
      <c r="H3" s="30" t="s">
        <v>58</v>
      </c>
      <c r="I3" s="30" t="s">
        <v>59</v>
      </c>
      <c r="J3" s="30" t="s">
        <v>36</v>
      </c>
      <c r="K3" s="30" t="s">
        <v>6</v>
      </c>
      <c r="L3" s="30" t="s">
        <v>7</v>
      </c>
      <c r="M3" s="30">
        <v>40969</v>
      </c>
      <c r="N3" s="30" t="s">
        <v>8</v>
      </c>
      <c r="O3" s="30" t="s">
        <v>9</v>
      </c>
      <c r="P3" s="30" t="s">
        <v>10</v>
      </c>
      <c r="Q3" s="30" t="s">
        <v>11</v>
      </c>
      <c r="R3" s="30" t="s">
        <v>12</v>
      </c>
      <c r="S3" s="30" t="s">
        <v>13</v>
      </c>
      <c r="T3" s="30" t="s">
        <v>14</v>
      </c>
      <c r="U3" s="30" t="s">
        <v>15</v>
      </c>
      <c r="V3" s="30" t="s">
        <v>16</v>
      </c>
      <c r="W3" s="30" t="s">
        <v>102</v>
      </c>
      <c r="X3" s="30" t="s">
        <v>86</v>
      </c>
      <c r="Y3" s="30" t="s">
        <v>87</v>
      </c>
      <c r="Z3" s="30" t="s">
        <v>88</v>
      </c>
      <c r="AA3" s="30" t="s">
        <v>89</v>
      </c>
      <c r="AB3" s="30" t="s">
        <v>90</v>
      </c>
      <c r="AC3" s="30" t="s">
        <v>91</v>
      </c>
      <c r="AD3" s="30" t="s">
        <v>92</v>
      </c>
      <c r="AE3" s="30" t="s">
        <v>93</v>
      </c>
      <c r="AF3" s="30" t="s">
        <v>94</v>
      </c>
      <c r="AG3" s="30" t="s">
        <v>95</v>
      </c>
      <c r="AH3" s="30" t="s">
        <v>96</v>
      </c>
      <c r="AI3" s="30" t="s">
        <v>97</v>
      </c>
      <c r="AJ3" s="30" t="s">
        <v>98</v>
      </c>
      <c r="AK3" s="30" t="s">
        <v>99</v>
      </c>
      <c r="AL3" s="30" t="s">
        <v>100</v>
      </c>
      <c r="AM3" s="30" t="s">
        <v>101</v>
      </c>
      <c r="AN3" s="30" t="s">
        <v>102</v>
      </c>
      <c r="AO3" s="30" t="s">
        <v>5</v>
      </c>
    </row>
    <row r="4" spans="1:41">
      <c r="A4" s="49" t="s">
        <v>0</v>
      </c>
      <c r="B4" s="53" t="s">
        <v>18</v>
      </c>
      <c r="C4" s="53" t="s">
        <v>27</v>
      </c>
      <c r="D4" s="53" t="s">
        <v>19</v>
      </c>
      <c r="E4" s="53" t="s">
        <v>28</v>
      </c>
      <c r="F4" s="5" t="s">
        <v>23</v>
      </c>
      <c r="G4" s="1" t="s">
        <v>22</v>
      </c>
      <c r="H4" s="3"/>
      <c r="I4" s="3"/>
      <c r="J4" s="65">
        <v>946096.25183815567</v>
      </c>
      <c r="K4" s="66">
        <v>0</v>
      </c>
      <c r="L4" s="66">
        <v>7.4187969523809869</v>
      </c>
      <c r="M4" s="66">
        <v>11.839746892655386</v>
      </c>
      <c r="N4" s="66">
        <v>6.3556614232209903</v>
      </c>
      <c r="O4" s="66">
        <v>6.3201549348231074</v>
      </c>
      <c r="P4" s="66">
        <v>6.2503189686924658</v>
      </c>
      <c r="Q4" s="66">
        <v>6.9376206261510234</v>
      </c>
      <c r="R4" s="66">
        <v>6.9761629629629729</v>
      </c>
      <c r="S4" s="66">
        <v>2.7087808988764039</v>
      </c>
      <c r="T4" s="66">
        <v>2.7395624999999995</v>
      </c>
      <c r="U4" s="66">
        <v>2.7552171428571421</v>
      </c>
      <c r="V4" s="66">
        <v>2.7710601532565606</v>
      </c>
      <c r="W4" s="66">
        <v>63.07308345587704</v>
      </c>
      <c r="X4" s="3"/>
      <c r="Y4" s="3"/>
      <c r="Z4" s="3" t="s">
        <v>103</v>
      </c>
      <c r="AA4" s="3"/>
      <c r="AB4" s="3"/>
      <c r="AC4" s="38"/>
      <c r="AD4" s="3"/>
      <c r="AE4" s="3"/>
      <c r="AF4" s="3"/>
      <c r="AG4" s="3"/>
      <c r="AH4" s="45"/>
      <c r="AI4" s="45"/>
      <c r="AJ4" s="45"/>
      <c r="AK4" s="45"/>
      <c r="AL4" s="45"/>
      <c r="AM4" s="45"/>
      <c r="AN4" s="46">
        <v>1</v>
      </c>
      <c r="AO4" s="48" t="s">
        <v>81</v>
      </c>
    </row>
    <row r="5" spans="1:41">
      <c r="A5" s="12" t="s">
        <v>1</v>
      </c>
      <c r="B5" s="54" t="s">
        <v>18</v>
      </c>
      <c r="C5" s="54" t="s">
        <v>27</v>
      </c>
      <c r="D5" s="54" t="s">
        <v>19</v>
      </c>
      <c r="E5" s="53" t="s">
        <v>28</v>
      </c>
      <c r="F5" s="5" t="s">
        <v>25</v>
      </c>
      <c r="G5" s="1" t="s">
        <v>24</v>
      </c>
      <c r="H5" s="45"/>
      <c r="I5" s="45" t="s">
        <v>21</v>
      </c>
      <c r="J5" s="65">
        <v>1293531.3029760609</v>
      </c>
      <c r="K5" s="67">
        <v>0</v>
      </c>
      <c r="L5" s="67">
        <v>21.462247619047616</v>
      </c>
      <c r="M5" s="67">
        <v>10.609868173258002</v>
      </c>
      <c r="N5" s="67">
        <v>10.550262172284643</v>
      </c>
      <c r="O5" s="67">
        <v>10.491322160148975</v>
      </c>
      <c r="P5" s="67">
        <v>10.375395948434623</v>
      </c>
      <c r="Q5" s="67">
        <v>11.341657458563533</v>
      </c>
      <c r="R5" s="67">
        <v>11.404666666666671</v>
      </c>
      <c r="S5" s="67">
        <v>0</v>
      </c>
      <c r="T5" s="67">
        <v>0</v>
      </c>
      <c r="U5" s="67">
        <v>0</v>
      </c>
      <c r="V5" s="67">
        <v>0</v>
      </c>
      <c r="W5" s="66">
        <v>86.235420198404057</v>
      </c>
      <c r="X5" s="45"/>
      <c r="Y5" s="45"/>
      <c r="Z5" s="45"/>
      <c r="AA5" s="45"/>
      <c r="AB5" s="45"/>
      <c r="AC5" s="45"/>
      <c r="AD5" s="45"/>
      <c r="AE5" s="45"/>
      <c r="AF5" s="45" t="s">
        <v>103</v>
      </c>
      <c r="AG5" s="45"/>
      <c r="AH5" s="45"/>
      <c r="AI5" s="45"/>
      <c r="AJ5" s="45"/>
      <c r="AK5" s="45"/>
      <c r="AL5" s="45"/>
      <c r="AM5" s="45"/>
      <c r="AN5" s="46">
        <v>1</v>
      </c>
      <c r="AO5" s="48" t="s">
        <v>82</v>
      </c>
    </row>
    <row r="6" spans="1:41">
      <c r="A6" s="50" t="s">
        <v>2</v>
      </c>
      <c r="B6" s="55" t="s">
        <v>18</v>
      </c>
      <c r="C6" s="55" t="s">
        <v>27</v>
      </c>
      <c r="D6" s="55" t="s">
        <v>19</v>
      </c>
      <c r="E6" s="53" t="s">
        <v>28</v>
      </c>
      <c r="F6" s="2" t="s">
        <v>20</v>
      </c>
      <c r="G6" s="2" t="s">
        <v>20</v>
      </c>
      <c r="H6" s="45"/>
      <c r="I6" s="45"/>
      <c r="J6" s="65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67">
        <v>0</v>
      </c>
      <c r="S6" s="67">
        <v>0</v>
      </c>
      <c r="T6" s="67">
        <v>0</v>
      </c>
      <c r="U6" s="67">
        <v>0</v>
      </c>
      <c r="V6" s="67">
        <v>0</v>
      </c>
      <c r="W6" s="66">
        <v>0</v>
      </c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6">
        <v>0</v>
      </c>
      <c r="AO6" s="48" t="s">
        <v>33</v>
      </c>
    </row>
    <row r="7" spans="1:41">
      <c r="A7" s="74" t="s">
        <v>125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8"/>
    </row>
    <row r="8" spans="1:4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48"/>
    </row>
    <row r="9" spans="1:4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7"/>
      <c r="AO9" s="48"/>
    </row>
    <row r="10" spans="1:4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7"/>
      <c r="AO10" s="48"/>
    </row>
    <row r="11" spans="1:4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7"/>
      <c r="AO11" s="48"/>
    </row>
    <row r="12" spans="1:4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48"/>
    </row>
    <row r="13" spans="1:4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48"/>
    </row>
    <row r="14" spans="1:4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48"/>
    </row>
    <row r="15" spans="1:4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48"/>
    </row>
    <row r="16" spans="1:4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48"/>
    </row>
    <row r="17" spans="1:4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8"/>
    </row>
    <row r="18" spans="1:4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48"/>
    </row>
    <row r="19" spans="1:4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48"/>
    </row>
    <row r="20" spans="1:4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48"/>
    </row>
    <row r="21" spans="1:4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48"/>
    </row>
    <row r="22" spans="1:4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48"/>
    </row>
    <row r="23" spans="1:4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48"/>
    </row>
    <row r="24" spans="1:4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48"/>
    </row>
    <row r="25" spans="1:4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48"/>
    </row>
    <row r="26" spans="1:4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48"/>
    </row>
    <row r="27" spans="1:4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48"/>
    </row>
    <row r="28" spans="1:4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48"/>
    </row>
    <row r="29" spans="1:4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48"/>
    </row>
    <row r="30" spans="1:4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48"/>
    </row>
    <row r="31" spans="1:4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48"/>
    </row>
    <row r="32" spans="1:4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48"/>
    </row>
    <row r="33" spans="1:4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48"/>
    </row>
    <row r="34" spans="1:4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48"/>
    </row>
    <row r="35" spans="1:4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48"/>
    </row>
    <row r="36" spans="1:4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48"/>
    </row>
    <row r="37" spans="1:4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48"/>
    </row>
    <row r="38" spans="1:4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48"/>
    </row>
    <row r="39" spans="1:4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48"/>
    </row>
    <row r="40" spans="1:4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48"/>
    </row>
    <row r="41" spans="1: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48"/>
    </row>
    <row r="42" spans="1:4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48"/>
    </row>
    <row r="43" spans="1:4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48"/>
    </row>
    <row r="44" spans="1:4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48"/>
    </row>
    <row r="45" spans="1:4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48"/>
    </row>
    <row r="46" spans="1:4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48"/>
    </row>
    <row r="47" spans="1:4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48"/>
    </row>
    <row r="48" spans="1:4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48"/>
    </row>
    <row r="49" spans="1:4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48"/>
    </row>
    <row r="50" spans="1:4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48"/>
    </row>
    <row r="51" spans="1:4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48"/>
    </row>
    <row r="52" spans="1:4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48"/>
    </row>
    <row r="53" spans="1:4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48"/>
    </row>
    <row r="54" spans="1:4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48"/>
    </row>
    <row r="55" spans="1:4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48"/>
    </row>
    <row r="56" spans="1:4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48"/>
    </row>
    <row r="57" spans="1:4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48"/>
    </row>
    <row r="58" spans="1:4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48"/>
    </row>
    <row r="59" spans="1:4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48"/>
    </row>
    <row r="60" spans="1:4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48"/>
    </row>
    <row r="61" spans="1:4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48"/>
    </row>
    <row r="62" spans="1:4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48"/>
    </row>
    <row r="63" spans="1:4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48"/>
    </row>
    <row r="64" spans="1:4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48"/>
    </row>
    <row r="65" spans="1:4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48"/>
    </row>
    <row r="66" spans="1:4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48"/>
    </row>
    <row r="67" spans="1:4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48"/>
    </row>
    <row r="68" spans="1:4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48"/>
    </row>
    <row r="69" spans="1:4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48"/>
    </row>
    <row r="70" spans="1:4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48"/>
    </row>
    <row r="71" spans="1:4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48"/>
    </row>
    <row r="72" spans="1:4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48"/>
    </row>
    <row r="73" spans="1:4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48"/>
    </row>
    <row r="74" spans="1:4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48"/>
    </row>
    <row r="75" spans="1:4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48"/>
    </row>
    <row r="76" spans="1:4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48"/>
    </row>
    <row r="77" spans="1:4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48"/>
    </row>
    <row r="78" spans="1:4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48"/>
    </row>
    <row r="79" spans="1:4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48"/>
    </row>
    <row r="80" spans="1:4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48"/>
    </row>
    <row r="81" spans="1:4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48"/>
    </row>
    <row r="82" spans="1:4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48"/>
    </row>
    <row r="83" spans="1:4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48"/>
    </row>
    <row r="84" spans="1:4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48"/>
    </row>
    <row r="85" spans="1:4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48"/>
    </row>
    <row r="86" spans="1:4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48"/>
    </row>
  </sheetData>
  <autoFilter ref="A3:AO6">
    <sortState ref="A4:AO112">
      <sortCondition ref="A3:A112"/>
    </sortState>
  </autoFilter>
  <conditionalFormatting sqref="E4:E6">
    <cfRule type="iconSet" priority="4">
      <iconSet iconSet="3TrafficLights2" showValue="0">
        <cfvo type="percent" val="0"/>
        <cfvo type="num" val="5"/>
        <cfvo type="num" val="10"/>
      </iconSet>
    </cfRule>
  </conditionalFormatting>
  <pageMargins left="0.75" right="0.75" top="1" bottom="1" header="0.5" footer="0.5"/>
  <pageSetup paperSize="3" orientation="landscape" horizontalDpi="4294967294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zoomScale="80" zoomScaleNormal="80" workbookViewId="0">
      <pane xSplit="5" ySplit="3" topLeftCell="F4" activePane="bottomRight" state="frozen"/>
      <selection pane="topRight" activeCell="C1" sqref="C1"/>
      <selection pane="bottomLeft" activeCell="A5" sqref="A5"/>
      <selection pane="bottomRight" activeCell="A10" sqref="A10"/>
    </sheetView>
  </sheetViews>
  <sheetFormatPr defaultRowHeight="12.75"/>
  <cols>
    <col min="1" max="1" width="42.5703125" style="56" customWidth="1"/>
    <col min="2" max="2" width="7.85546875" style="56" bestFit="1" customWidth="1"/>
    <col min="3" max="3" width="10.42578125" style="56" bestFit="1" customWidth="1"/>
    <col min="4" max="4" width="8.5703125" style="56" bestFit="1" customWidth="1"/>
    <col min="5" max="5" width="17" style="56" bestFit="1" customWidth="1"/>
    <col min="6" max="6" width="22.7109375" style="14" bestFit="1" customWidth="1"/>
    <col min="7" max="7" width="15.5703125" style="13" bestFit="1" customWidth="1"/>
    <col min="8" max="8" width="16.7109375" style="13" bestFit="1" customWidth="1"/>
    <col min="9" max="9" width="18.85546875" style="13" bestFit="1" customWidth="1"/>
    <col min="10" max="10" width="20.85546875" style="13" bestFit="1" customWidth="1"/>
    <col min="11" max="11" width="18.7109375" style="13" bestFit="1" customWidth="1"/>
    <col min="12" max="13" width="16" style="13" bestFit="1" customWidth="1"/>
    <col min="14" max="14" width="19.42578125" style="13" bestFit="1" customWidth="1"/>
    <col min="15" max="15" width="16" style="13" bestFit="1" customWidth="1"/>
    <col min="16" max="16" width="20.85546875" style="13" bestFit="1" customWidth="1"/>
    <col min="17" max="17" width="14.42578125" style="9" bestFit="1" customWidth="1"/>
    <col min="18" max="18" width="20.140625" style="9" bestFit="1" customWidth="1"/>
    <col min="19" max="16384" width="9.140625" style="9"/>
  </cols>
  <sheetData>
    <row r="1" spans="1:18">
      <c r="A1" s="10"/>
      <c r="B1" s="10"/>
      <c r="C1" s="10"/>
      <c r="D1" s="10"/>
      <c r="E1" s="10"/>
      <c r="F1" s="8"/>
      <c r="G1" s="8"/>
      <c r="H1" s="8"/>
      <c r="I1" s="7"/>
      <c r="J1" s="7"/>
      <c r="K1" s="7"/>
      <c r="L1" s="7"/>
      <c r="M1" s="7"/>
      <c r="N1" s="7"/>
      <c r="O1" s="7"/>
      <c r="P1" s="7"/>
    </row>
    <row r="2" spans="1:18">
      <c r="A2" s="10"/>
      <c r="B2" s="10"/>
      <c r="C2" s="10"/>
      <c r="D2" s="10"/>
      <c r="E2" s="10"/>
      <c r="F2" s="15" t="s">
        <v>41</v>
      </c>
      <c r="G2" s="18" t="s">
        <v>42</v>
      </c>
      <c r="H2" s="17" t="s">
        <v>43</v>
      </c>
      <c r="I2" s="40"/>
      <c r="J2" s="40"/>
      <c r="K2" s="19" t="s">
        <v>44</v>
      </c>
      <c r="L2" s="19"/>
      <c r="M2" s="19"/>
      <c r="N2" s="20" t="s">
        <v>45</v>
      </c>
      <c r="O2" s="21"/>
      <c r="P2" s="21"/>
      <c r="Q2" s="70" t="s">
        <v>121</v>
      </c>
      <c r="R2" s="71"/>
    </row>
    <row r="3" spans="1:18" s="16" customFormat="1">
      <c r="A3" s="30" t="s">
        <v>3</v>
      </c>
      <c r="B3" s="68" t="s">
        <v>35</v>
      </c>
      <c r="C3" s="68" t="s">
        <v>26</v>
      </c>
      <c r="D3" s="68" t="s">
        <v>4</v>
      </c>
      <c r="E3" s="30" t="s">
        <v>40</v>
      </c>
      <c r="F3" s="25" t="s">
        <v>53</v>
      </c>
      <c r="G3" s="27" t="s">
        <v>29</v>
      </c>
      <c r="H3" s="26" t="s">
        <v>30</v>
      </c>
      <c r="I3" s="26" t="s">
        <v>83</v>
      </c>
      <c r="J3" s="26" t="s">
        <v>5</v>
      </c>
      <c r="K3" s="28" t="s">
        <v>31</v>
      </c>
      <c r="L3" s="28" t="s">
        <v>54</v>
      </c>
      <c r="M3" s="28" t="s">
        <v>5</v>
      </c>
      <c r="N3" s="29" t="s">
        <v>32</v>
      </c>
      <c r="O3" s="29" t="s">
        <v>54</v>
      </c>
      <c r="P3" s="29" t="s">
        <v>5</v>
      </c>
      <c r="Q3" s="72" t="s">
        <v>122</v>
      </c>
      <c r="R3" s="72" t="s">
        <v>123</v>
      </c>
    </row>
    <row r="4" spans="1:18">
      <c r="A4" s="49" t="s">
        <v>0</v>
      </c>
      <c r="B4" s="59" t="s">
        <v>18</v>
      </c>
      <c r="C4" s="59" t="s">
        <v>27</v>
      </c>
      <c r="D4" s="59" t="s">
        <v>28</v>
      </c>
      <c r="E4" s="59" t="s">
        <v>118</v>
      </c>
      <c r="F4" s="12" t="s">
        <v>37</v>
      </c>
      <c r="G4" s="12" t="s">
        <v>28</v>
      </c>
      <c r="H4" s="12" t="s">
        <v>39</v>
      </c>
      <c r="I4" s="12" t="s">
        <v>84</v>
      </c>
      <c r="J4" s="12" t="s">
        <v>81</v>
      </c>
      <c r="K4" s="12"/>
      <c r="L4" s="12"/>
      <c r="M4" s="12"/>
      <c r="N4" s="12" t="s">
        <v>34</v>
      </c>
      <c r="O4" s="12" t="s">
        <v>84</v>
      </c>
      <c r="P4" s="12" t="str">
        <f>J4</f>
        <v>No Dependencies</v>
      </c>
    </row>
    <row r="5" spans="1:18">
      <c r="A5" s="12" t="s">
        <v>1</v>
      </c>
      <c r="B5" s="59" t="s">
        <v>18</v>
      </c>
      <c r="C5" s="59" t="s">
        <v>27</v>
      </c>
      <c r="D5" s="59" t="s">
        <v>28</v>
      </c>
      <c r="E5" s="59" t="s">
        <v>119</v>
      </c>
      <c r="F5" s="12" t="s">
        <v>37</v>
      </c>
      <c r="G5" s="12" t="s">
        <v>28</v>
      </c>
      <c r="H5" s="12" t="s">
        <v>38</v>
      </c>
      <c r="I5" s="12" t="s">
        <v>115</v>
      </c>
      <c r="J5" s="12" t="s">
        <v>82</v>
      </c>
      <c r="K5" s="12"/>
      <c r="L5" s="12"/>
      <c r="M5" s="12"/>
      <c r="N5" s="12" t="s">
        <v>34</v>
      </c>
      <c r="O5" s="12" t="s">
        <v>115</v>
      </c>
      <c r="P5" s="12" t="str">
        <f t="shared" ref="P5:P6" si="0">J5</f>
        <v>Oracle 11G BD01 + ASM</v>
      </c>
    </row>
    <row r="6" spans="1:18">
      <c r="A6" s="50" t="s">
        <v>2</v>
      </c>
      <c r="B6" s="59" t="s">
        <v>18</v>
      </c>
      <c r="C6" s="59" t="s">
        <v>27</v>
      </c>
      <c r="D6" s="59" t="s">
        <v>28</v>
      </c>
      <c r="E6" s="73" t="s">
        <v>124</v>
      </c>
      <c r="F6" s="12" t="s">
        <v>37</v>
      </c>
      <c r="G6" s="12" t="s">
        <v>28</v>
      </c>
      <c r="H6" s="12" t="s">
        <v>38</v>
      </c>
      <c r="I6" s="12" t="s">
        <v>115</v>
      </c>
      <c r="J6" s="12" t="s">
        <v>33</v>
      </c>
      <c r="K6" s="12"/>
      <c r="L6" s="12"/>
      <c r="M6" s="12"/>
      <c r="N6" s="12" t="s">
        <v>34</v>
      </c>
      <c r="O6" s="12" t="s">
        <v>115</v>
      </c>
      <c r="P6" s="12" t="str">
        <f t="shared" si="0"/>
        <v>PENDING DATA</v>
      </c>
    </row>
    <row r="7" spans="1:18">
      <c r="A7" s="74" t="s">
        <v>125</v>
      </c>
      <c r="K7" s="12"/>
      <c r="L7" s="12"/>
      <c r="M7" s="12"/>
    </row>
    <row r="8" spans="1:18">
      <c r="K8" s="12"/>
      <c r="L8" s="12"/>
      <c r="M8" s="12"/>
    </row>
    <row r="9" spans="1:18">
      <c r="K9" s="12"/>
      <c r="L9" s="12"/>
      <c r="M9" s="12"/>
    </row>
    <row r="10" spans="1:18">
      <c r="K10" s="12"/>
      <c r="L10" s="12"/>
      <c r="M10" s="12"/>
    </row>
    <row r="11" spans="1:18">
      <c r="K11" s="12"/>
      <c r="L11" s="12"/>
      <c r="M11" s="12"/>
    </row>
    <row r="12" spans="1:18">
      <c r="K12" s="12"/>
      <c r="L12" s="12"/>
      <c r="M12" s="12"/>
    </row>
    <row r="13" spans="1:18">
      <c r="K13" s="12"/>
      <c r="L13" s="12"/>
      <c r="M13" s="12"/>
    </row>
    <row r="14" spans="1:18">
      <c r="K14" s="12"/>
      <c r="L14" s="12"/>
      <c r="M14" s="12"/>
    </row>
    <row r="15" spans="1:18">
      <c r="K15" s="12"/>
      <c r="L15" s="12"/>
      <c r="M15" s="12"/>
    </row>
    <row r="16" spans="1:18">
      <c r="K16" s="12"/>
      <c r="L16" s="12"/>
      <c r="M16" s="12"/>
    </row>
    <row r="17" spans="11:13">
      <c r="K17" s="12"/>
      <c r="L17" s="12"/>
      <c r="M17" s="12"/>
    </row>
    <row r="18" spans="11:13">
      <c r="K18" s="12"/>
      <c r="L18" s="12"/>
      <c r="M18" s="12"/>
    </row>
    <row r="19" spans="11:13">
      <c r="K19" s="12"/>
      <c r="L19" s="12"/>
      <c r="M19" s="12"/>
    </row>
    <row r="20" spans="11:13">
      <c r="K20" s="12"/>
      <c r="L20" s="12"/>
      <c r="M20" s="12"/>
    </row>
    <row r="21" spans="11:13">
      <c r="K21" s="12"/>
      <c r="L21" s="12"/>
      <c r="M21" s="12"/>
    </row>
  </sheetData>
  <autoFilter ref="A3:R6"/>
  <dataValidations count="2">
    <dataValidation type="list" allowBlank="1" showInputMessage="1" showErrorMessage="1" sqref="K7:K21">
      <formula1>"Anchor,Push Out,Pull In,No Change,Pending Data"</formula1>
    </dataValidation>
    <dataValidation allowBlank="1" showInputMessage="1" sqref="I7:J1048576"/>
  </dataValidations>
  <pageMargins left="0.75" right="0.75" top="1" bottom="1" header="0.5" footer="0.5"/>
  <pageSetup paperSize="3" orientation="landscape" horizontalDpi="4294967294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Valid Release Name Required" error="Select a valid Release Name from the drop-down in the cell.  _x000a__x000a_NOTE: When Release Types are updated, the associated names also change.">
          <x14:formula1>
            <xm:f>'Release Cadence'!$B$4:$B$24</xm:f>
          </x14:formula1>
          <xm:sqref>L7:L19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5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" sqref="H2"/>
    </sheetView>
  </sheetViews>
  <sheetFormatPr defaultRowHeight="12.75"/>
  <cols>
    <col min="1" max="1" width="5.42578125" style="24" customWidth="1"/>
    <col min="2" max="2" width="26.140625" style="13" customWidth="1"/>
    <col min="3" max="3" width="10.5703125" style="13" bestFit="1" customWidth="1"/>
    <col min="4" max="4" width="13.5703125" style="13" customWidth="1"/>
    <col min="5" max="5" width="34.28515625" style="13" customWidth="1"/>
    <col min="6" max="6" width="34.28515625" style="14" customWidth="1"/>
    <col min="7" max="10" width="9.140625" style="37"/>
    <col min="11" max="12" width="11.140625" style="52" customWidth="1"/>
    <col min="13" max="16384" width="9.140625" style="37"/>
  </cols>
  <sheetData>
    <row r="1" spans="1:13" ht="15.75">
      <c r="A1" s="58" t="s">
        <v>114</v>
      </c>
      <c r="B1" s="7"/>
      <c r="C1" s="7"/>
      <c r="D1" s="7"/>
      <c r="E1" s="7"/>
      <c r="F1" s="8"/>
      <c r="K1" s="37"/>
      <c r="L1" s="37"/>
    </row>
    <row r="2" spans="1:13">
      <c r="A2" s="23"/>
      <c r="B2" s="10"/>
      <c r="C2" s="10"/>
      <c r="D2" s="10"/>
      <c r="E2" s="10"/>
      <c r="F2" s="11"/>
      <c r="K2" s="37"/>
      <c r="L2" s="37"/>
    </row>
    <row r="3" spans="1:13" s="51" customFormat="1">
      <c r="A3" s="30" t="s">
        <v>46</v>
      </c>
      <c r="B3" s="30" t="s">
        <v>47</v>
      </c>
      <c r="C3" s="30" t="s">
        <v>17</v>
      </c>
      <c r="D3" s="30" t="s">
        <v>52</v>
      </c>
      <c r="E3" s="30" t="s">
        <v>120</v>
      </c>
      <c r="F3" s="30" t="s">
        <v>48</v>
      </c>
      <c r="J3" s="37"/>
      <c r="K3" s="37"/>
      <c r="L3" s="37"/>
    </row>
    <row r="4" spans="1:13">
      <c r="A4" s="57" t="s">
        <v>104</v>
      </c>
      <c r="B4" s="4" t="str">
        <f>CONCATENATE(A4," - ",C4," - ",TEXT(D4,"mm/yy"))</f>
        <v>01 - Major - 03/12</v>
      </c>
      <c r="C4" s="4" t="s">
        <v>49</v>
      </c>
      <c r="D4" s="22">
        <v>40983</v>
      </c>
      <c r="E4" s="4"/>
      <c r="F4" s="4"/>
      <c r="K4" s="37"/>
      <c r="L4" s="37"/>
      <c r="M4" s="69"/>
    </row>
    <row r="5" spans="1:13">
      <c r="A5" s="57" t="s">
        <v>105</v>
      </c>
      <c r="B5" s="4" t="str">
        <f t="shared" ref="B5:B24" si="0">CONCATENATE(A5," - ",C5," - ",TEXT(D5,"mm/yy"))</f>
        <v>02 - Minor - 04/12</v>
      </c>
      <c r="C5" s="4" t="s">
        <v>50</v>
      </c>
      <c r="D5" s="22">
        <v>41014</v>
      </c>
      <c r="E5" s="4"/>
      <c r="F5" s="4"/>
      <c r="K5" s="37"/>
      <c r="L5" s="37"/>
      <c r="M5" s="69"/>
    </row>
    <row r="6" spans="1:13">
      <c r="A6" s="57" t="s">
        <v>106</v>
      </c>
      <c r="B6" s="4" t="str">
        <f t="shared" si="0"/>
        <v>03 - Fix - 05/12</v>
      </c>
      <c r="C6" s="4" t="s">
        <v>51</v>
      </c>
      <c r="D6" s="22">
        <v>41044</v>
      </c>
      <c r="E6" s="4"/>
      <c r="F6" s="4"/>
      <c r="K6" s="37"/>
      <c r="L6" s="37"/>
    </row>
    <row r="7" spans="1:13">
      <c r="A7" s="57" t="s">
        <v>107</v>
      </c>
      <c r="B7" s="4" t="str">
        <f t="shared" si="0"/>
        <v>04 -  - 06/12</v>
      </c>
      <c r="C7" s="4"/>
      <c r="D7" s="22">
        <v>41075</v>
      </c>
      <c r="E7" s="4"/>
      <c r="F7" s="4"/>
      <c r="K7" s="37"/>
      <c r="L7" s="37"/>
    </row>
    <row r="8" spans="1:13">
      <c r="A8" s="57" t="s">
        <v>108</v>
      </c>
      <c r="B8" s="4" t="str">
        <f t="shared" si="0"/>
        <v>05 -  - 07/12</v>
      </c>
      <c r="C8" s="4"/>
      <c r="D8" s="22">
        <v>41105</v>
      </c>
      <c r="E8" s="4"/>
      <c r="F8" s="4"/>
      <c r="K8" s="37"/>
      <c r="L8" s="37"/>
    </row>
    <row r="9" spans="1:13">
      <c r="A9" s="57" t="s">
        <v>109</v>
      </c>
      <c r="B9" s="4" t="str">
        <f t="shared" si="0"/>
        <v>06 -  - 08/12</v>
      </c>
      <c r="C9" s="4"/>
      <c r="D9" s="22">
        <v>41136</v>
      </c>
      <c r="E9" s="4"/>
      <c r="F9" s="4"/>
      <c r="K9" s="37"/>
      <c r="L9" s="37"/>
    </row>
    <row r="10" spans="1:13">
      <c r="A10" s="57" t="s">
        <v>110</v>
      </c>
      <c r="B10" s="4" t="str">
        <f t="shared" si="0"/>
        <v>07 -  - 09/12</v>
      </c>
      <c r="C10" s="4"/>
      <c r="D10" s="22">
        <v>41167</v>
      </c>
      <c r="E10" s="4"/>
      <c r="F10" s="4"/>
      <c r="K10" s="37"/>
      <c r="L10" s="37"/>
    </row>
    <row r="11" spans="1:13">
      <c r="A11" s="57" t="s">
        <v>111</v>
      </c>
      <c r="B11" s="4" t="str">
        <f t="shared" si="0"/>
        <v>08 -  - 10/12</v>
      </c>
      <c r="C11" s="4"/>
      <c r="D11" s="22">
        <v>41197</v>
      </c>
      <c r="F11" s="4"/>
      <c r="K11" s="37"/>
      <c r="L11" s="37"/>
    </row>
    <row r="12" spans="1:13">
      <c r="A12" s="57" t="s">
        <v>112</v>
      </c>
      <c r="B12" s="4" t="str">
        <f>CONCATENATE(A12," - ",E12," - ",TEXT(D12,"mm/yy"))</f>
        <v>09 -  - 11/12</v>
      </c>
      <c r="C12" s="4"/>
      <c r="D12" s="22">
        <v>41228</v>
      </c>
      <c r="E12" s="4"/>
      <c r="F12" s="4"/>
      <c r="K12" s="37"/>
      <c r="L12" s="37"/>
    </row>
    <row r="13" spans="1:13">
      <c r="A13" s="57" t="s">
        <v>113</v>
      </c>
      <c r="B13" s="4" t="str">
        <f t="shared" si="0"/>
        <v>10 -  - 12/12</v>
      </c>
      <c r="C13" s="4"/>
      <c r="D13" s="22">
        <v>41258</v>
      </c>
      <c r="E13" s="4"/>
      <c r="F13" s="4"/>
      <c r="K13" s="37"/>
      <c r="L13" s="37"/>
    </row>
    <row r="14" spans="1:13">
      <c r="A14" s="57">
        <v>11</v>
      </c>
      <c r="B14" s="4" t="str">
        <f t="shared" si="0"/>
        <v>11 -  - 01/13</v>
      </c>
      <c r="C14" s="4"/>
      <c r="D14" s="22">
        <v>41289</v>
      </c>
      <c r="E14" s="4"/>
      <c r="F14" s="4"/>
      <c r="K14" s="37"/>
      <c r="L14" s="37"/>
    </row>
    <row r="15" spans="1:13">
      <c r="A15" s="57">
        <v>12</v>
      </c>
      <c r="B15" s="4" t="str">
        <f t="shared" si="0"/>
        <v>12 -  - 02/13</v>
      </c>
      <c r="C15" s="4"/>
      <c r="D15" s="22">
        <v>41320</v>
      </c>
      <c r="E15" s="4"/>
      <c r="F15" s="4"/>
      <c r="K15" s="37"/>
      <c r="L15" s="37"/>
    </row>
    <row r="16" spans="1:13">
      <c r="A16" s="57">
        <v>13</v>
      </c>
      <c r="B16" s="4" t="str">
        <f t="shared" si="0"/>
        <v>13 -  - 03/13</v>
      </c>
      <c r="C16" s="4"/>
      <c r="D16" s="22">
        <v>41348</v>
      </c>
      <c r="E16" s="4"/>
      <c r="F16" s="4"/>
      <c r="K16" s="37"/>
      <c r="L16" s="37"/>
    </row>
    <row r="17" spans="1:12">
      <c r="A17" s="57">
        <v>14</v>
      </c>
      <c r="B17" s="4" t="str">
        <f t="shared" si="0"/>
        <v>14 -  - 04/13</v>
      </c>
      <c r="C17" s="4"/>
      <c r="D17" s="22">
        <v>41379</v>
      </c>
      <c r="E17" s="4"/>
      <c r="F17" s="4"/>
      <c r="K17" s="37"/>
      <c r="L17" s="37"/>
    </row>
    <row r="18" spans="1:12">
      <c r="A18" s="57">
        <v>15</v>
      </c>
      <c r="B18" s="4" t="str">
        <f t="shared" si="0"/>
        <v>15 -  - 05/13</v>
      </c>
      <c r="C18" s="4"/>
      <c r="D18" s="22">
        <v>41409</v>
      </c>
      <c r="E18" s="4"/>
      <c r="F18" s="4"/>
      <c r="K18" s="37"/>
      <c r="L18" s="37"/>
    </row>
    <row r="19" spans="1:12">
      <c r="A19" s="57">
        <v>16</v>
      </c>
      <c r="B19" s="4" t="str">
        <f t="shared" si="0"/>
        <v>16 -  - 06/13</v>
      </c>
      <c r="C19" s="4"/>
      <c r="D19" s="22">
        <v>41440</v>
      </c>
      <c r="E19" s="4"/>
      <c r="F19" s="4"/>
      <c r="K19" s="37"/>
      <c r="L19" s="37"/>
    </row>
    <row r="20" spans="1:12">
      <c r="A20" s="57">
        <v>17</v>
      </c>
      <c r="B20" s="4" t="str">
        <f t="shared" si="0"/>
        <v>17 -  - 07/13</v>
      </c>
      <c r="C20" s="4"/>
      <c r="D20" s="22">
        <v>41470</v>
      </c>
      <c r="E20" s="4"/>
      <c r="F20" s="4"/>
      <c r="K20" s="37"/>
      <c r="L20" s="37"/>
    </row>
    <row r="21" spans="1:12">
      <c r="A21" s="57">
        <v>18</v>
      </c>
      <c r="B21" s="4" t="str">
        <f t="shared" si="0"/>
        <v>18 -  - 08/13</v>
      </c>
      <c r="C21" s="4"/>
      <c r="D21" s="22">
        <v>41501</v>
      </c>
      <c r="E21" s="4"/>
      <c r="F21" s="4"/>
      <c r="K21" s="37"/>
      <c r="L21" s="37"/>
    </row>
    <row r="22" spans="1:12">
      <c r="A22" s="57">
        <v>19</v>
      </c>
      <c r="B22" s="4" t="str">
        <f t="shared" si="0"/>
        <v>19 -  - 09/13</v>
      </c>
      <c r="C22" s="4"/>
      <c r="D22" s="22">
        <v>41532</v>
      </c>
      <c r="E22" s="4"/>
      <c r="F22" s="4"/>
      <c r="K22" s="37"/>
      <c r="L22" s="37"/>
    </row>
    <row r="23" spans="1:12">
      <c r="A23" s="57">
        <v>20</v>
      </c>
      <c r="B23" s="4" t="str">
        <f t="shared" si="0"/>
        <v>20 -  - 10/13</v>
      </c>
      <c r="C23" s="4"/>
      <c r="D23" s="22">
        <v>41562</v>
      </c>
      <c r="E23" s="4"/>
      <c r="F23" s="4"/>
      <c r="K23" s="37"/>
      <c r="L23" s="37"/>
    </row>
    <row r="24" spans="1:12">
      <c r="A24" s="57">
        <v>21</v>
      </c>
      <c r="B24" s="4" t="str">
        <f t="shared" si="0"/>
        <v>21 -  - 11/13</v>
      </c>
      <c r="C24" s="4"/>
      <c r="D24" s="22">
        <v>41593</v>
      </c>
      <c r="E24" s="4"/>
      <c r="F24" s="4"/>
      <c r="K24" s="37"/>
      <c r="L24" s="37"/>
    </row>
    <row r="25" spans="1:12">
      <c r="A25" s="3"/>
      <c r="B25" s="4"/>
      <c r="C25" s="4"/>
      <c r="D25" s="4"/>
      <c r="E25" s="4"/>
      <c r="F25" s="4"/>
      <c r="K25" s="37"/>
      <c r="L25" s="37"/>
    </row>
    <row r="26" spans="1:12">
      <c r="A26" s="3"/>
      <c r="B26" s="4"/>
      <c r="C26" s="4"/>
      <c r="D26" s="4"/>
      <c r="E26" s="4"/>
      <c r="F26" s="4"/>
      <c r="K26" s="37"/>
      <c r="L26" s="37"/>
    </row>
    <row r="27" spans="1:12">
      <c r="A27" s="3"/>
      <c r="B27" s="4"/>
      <c r="C27" s="4"/>
      <c r="D27" s="4"/>
      <c r="E27" s="4"/>
      <c r="F27" s="4"/>
      <c r="K27" s="37"/>
      <c r="L27" s="37"/>
    </row>
    <row r="28" spans="1:12">
      <c r="A28" s="3"/>
      <c r="B28" s="4"/>
      <c r="C28" s="4"/>
      <c r="D28" s="4"/>
      <c r="E28" s="4"/>
      <c r="F28" s="4"/>
      <c r="K28" s="37"/>
      <c r="L28" s="37"/>
    </row>
    <row r="29" spans="1:12">
      <c r="A29" s="3"/>
      <c r="B29" s="4"/>
      <c r="C29" s="4"/>
      <c r="D29" s="4"/>
      <c r="E29" s="4"/>
      <c r="F29" s="4"/>
      <c r="K29" s="37"/>
      <c r="L29" s="37"/>
    </row>
    <row r="30" spans="1:12">
      <c r="A30" s="3"/>
      <c r="B30" s="4"/>
      <c r="C30" s="4"/>
      <c r="D30" s="4"/>
      <c r="E30" s="4"/>
      <c r="F30" s="4"/>
    </row>
    <row r="31" spans="1:12">
      <c r="A31" s="3"/>
      <c r="B31" s="4"/>
      <c r="C31" s="4"/>
      <c r="D31" s="4"/>
      <c r="E31" s="4"/>
      <c r="F31" s="4"/>
    </row>
    <row r="32" spans="1:12">
      <c r="A32" s="3"/>
      <c r="B32" s="4"/>
      <c r="C32" s="4"/>
      <c r="D32" s="4"/>
      <c r="E32" s="4"/>
      <c r="F32" s="4"/>
    </row>
    <row r="33" spans="1:6">
      <c r="A33" s="3"/>
      <c r="B33" s="4"/>
      <c r="C33" s="4"/>
      <c r="D33" s="4"/>
      <c r="E33" s="4"/>
      <c r="F33" s="4"/>
    </row>
    <row r="34" spans="1:6">
      <c r="A34" s="3"/>
      <c r="B34" s="4"/>
      <c r="C34" s="4"/>
      <c r="D34" s="4"/>
      <c r="E34" s="4"/>
      <c r="F34" s="4"/>
    </row>
    <row r="35" spans="1:6">
      <c r="A35" s="3"/>
      <c r="B35" s="4"/>
      <c r="C35" s="4"/>
      <c r="D35" s="4"/>
      <c r="E35" s="4"/>
      <c r="F35" s="4"/>
    </row>
    <row r="36" spans="1:6">
      <c r="A36" s="3"/>
      <c r="B36" s="4"/>
      <c r="C36" s="4"/>
      <c r="D36" s="4"/>
      <c r="E36" s="4"/>
      <c r="F36" s="4"/>
    </row>
    <row r="37" spans="1:6">
      <c r="A37" s="3"/>
      <c r="B37" s="4"/>
      <c r="C37" s="4"/>
      <c r="D37" s="4"/>
      <c r="E37" s="4"/>
      <c r="F37" s="4"/>
    </row>
    <row r="38" spans="1:6">
      <c r="A38" s="3"/>
      <c r="B38" s="4"/>
      <c r="C38" s="4"/>
      <c r="D38" s="4"/>
      <c r="E38" s="4"/>
      <c r="F38" s="4"/>
    </row>
    <row r="39" spans="1:6">
      <c r="A39" s="3"/>
      <c r="B39" s="4"/>
      <c r="C39" s="4"/>
      <c r="D39" s="4"/>
      <c r="E39" s="4"/>
      <c r="F39" s="4"/>
    </row>
    <row r="40" spans="1:6">
      <c r="A40" s="3"/>
      <c r="B40" s="4"/>
      <c r="C40" s="4"/>
      <c r="D40" s="4"/>
      <c r="E40" s="4"/>
      <c r="F40" s="4"/>
    </row>
    <row r="41" spans="1:6">
      <c r="A41" s="3"/>
      <c r="B41" s="4"/>
      <c r="C41" s="4"/>
      <c r="D41" s="4"/>
      <c r="E41" s="4"/>
      <c r="F41" s="4"/>
    </row>
    <row r="42" spans="1:6">
      <c r="A42" s="3"/>
      <c r="B42" s="4"/>
      <c r="C42" s="4"/>
      <c r="D42" s="4"/>
      <c r="E42" s="4"/>
      <c r="F42" s="4"/>
    </row>
    <row r="43" spans="1:6">
      <c r="A43" s="3"/>
      <c r="B43" s="4"/>
      <c r="C43" s="4"/>
      <c r="D43" s="4"/>
      <c r="E43" s="4"/>
      <c r="F43" s="4"/>
    </row>
    <row r="44" spans="1:6">
      <c r="A44" s="3"/>
      <c r="B44" s="4"/>
      <c r="C44" s="4"/>
      <c r="D44" s="4"/>
      <c r="E44" s="4"/>
      <c r="F44" s="4"/>
    </row>
    <row r="45" spans="1:6">
      <c r="A45" s="3"/>
      <c r="B45" s="4"/>
      <c r="C45" s="4"/>
      <c r="D45" s="4"/>
      <c r="E45" s="4"/>
      <c r="F45" s="4"/>
    </row>
    <row r="46" spans="1:6">
      <c r="A46" s="3"/>
      <c r="B46" s="4"/>
      <c r="C46" s="4"/>
      <c r="D46" s="4"/>
      <c r="E46" s="4"/>
      <c r="F46" s="4"/>
    </row>
    <row r="47" spans="1:6">
      <c r="A47" s="3"/>
      <c r="B47" s="4"/>
      <c r="C47" s="4"/>
      <c r="D47" s="4"/>
      <c r="E47" s="4"/>
      <c r="F47" s="4"/>
    </row>
    <row r="48" spans="1:6">
      <c r="A48" s="3"/>
      <c r="B48" s="4"/>
      <c r="C48" s="4"/>
      <c r="D48" s="4"/>
      <c r="E48" s="4"/>
      <c r="F48" s="4"/>
    </row>
    <row r="49" spans="1:6">
      <c r="A49" s="3"/>
      <c r="B49" s="4"/>
      <c r="C49" s="4"/>
      <c r="D49" s="4"/>
      <c r="E49" s="4"/>
      <c r="F49" s="4"/>
    </row>
    <row r="50" spans="1:6">
      <c r="A50" s="3"/>
      <c r="B50" s="4"/>
      <c r="C50" s="4"/>
      <c r="D50" s="4"/>
      <c r="E50" s="4"/>
      <c r="F50" s="4"/>
    </row>
    <row r="51" spans="1:6">
      <c r="A51" s="3"/>
      <c r="B51" s="4"/>
      <c r="C51" s="4"/>
      <c r="D51" s="4"/>
      <c r="E51" s="4"/>
      <c r="F51" s="4"/>
    </row>
    <row r="52" spans="1:6">
      <c r="A52" s="3"/>
      <c r="B52" s="4"/>
      <c r="C52" s="4"/>
      <c r="D52" s="4"/>
      <c r="E52" s="4"/>
      <c r="F52" s="4"/>
    </row>
    <row r="53" spans="1:6">
      <c r="A53" s="3"/>
      <c r="B53" s="4"/>
      <c r="C53" s="4"/>
      <c r="D53" s="4"/>
      <c r="E53" s="4"/>
      <c r="F53" s="4"/>
    </row>
    <row r="54" spans="1:6">
      <c r="A54" s="3"/>
      <c r="B54" s="4"/>
      <c r="C54" s="4"/>
      <c r="D54" s="4"/>
      <c r="E54" s="4"/>
      <c r="F54" s="4"/>
    </row>
    <row r="55" spans="1:6">
      <c r="A55" s="3"/>
      <c r="B55" s="4"/>
      <c r="C55" s="4"/>
      <c r="D55" s="4"/>
      <c r="E55" s="4"/>
      <c r="F55" s="4"/>
    </row>
    <row r="56" spans="1:6">
      <c r="A56" s="3"/>
      <c r="B56" s="4"/>
      <c r="C56" s="4"/>
      <c r="D56" s="4"/>
      <c r="E56" s="4"/>
      <c r="F56" s="4"/>
    </row>
    <row r="57" spans="1:6">
      <c r="A57" s="3"/>
      <c r="B57" s="4"/>
      <c r="C57" s="4"/>
      <c r="D57" s="4"/>
      <c r="E57" s="4"/>
      <c r="F57" s="4"/>
    </row>
    <row r="58" spans="1:6">
      <c r="A58" s="3"/>
      <c r="B58" s="4"/>
      <c r="C58" s="4"/>
      <c r="D58" s="4"/>
      <c r="E58" s="4"/>
      <c r="F58" s="4"/>
    </row>
    <row r="59" spans="1:6">
      <c r="A59" s="3"/>
      <c r="B59" s="4"/>
      <c r="C59" s="4"/>
      <c r="D59" s="4"/>
      <c r="E59" s="4"/>
      <c r="F59" s="4"/>
    </row>
    <row r="60" spans="1:6">
      <c r="A60" s="3"/>
      <c r="B60" s="4"/>
      <c r="C60" s="4"/>
      <c r="D60" s="4"/>
      <c r="E60" s="4"/>
      <c r="F60" s="4"/>
    </row>
    <row r="61" spans="1:6">
      <c r="A61" s="3"/>
      <c r="B61" s="4"/>
      <c r="C61" s="4"/>
      <c r="D61" s="4"/>
      <c r="E61" s="4"/>
      <c r="F61" s="4"/>
    </row>
    <row r="62" spans="1:6">
      <c r="A62" s="3"/>
      <c r="B62" s="4"/>
      <c r="C62" s="4"/>
      <c r="D62" s="4"/>
      <c r="E62" s="4"/>
      <c r="F62" s="4"/>
    </row>
    <row r="63" spans="1:6">
      <c r="A63" s="3"/>
      <c r="B63" s="4"/>
      <c r="C63" s="4"/>
      <c r="D63" s="4"/>
      <c r="E63" s="4"/>
      <c r="F63" s="4"/>
    </row>
    <row r="64" spans="1:6">
      <c r="A64" s="3"/>
      <c r="B64" s="4"/>
      <c r="C64" s="4"/>
      <c r="D64" s="4"/>
      <c r="E64" s="4"/>
      <c r="F64" s="4"/>
    </row>
    <row r="65" spans="1:6">
      <c r="A65" s="3"/>
      <c r="B65" s="4"/>
      <c r="C65" s="4"/>
      <c r="D65" s="4"/>
      <c r="E65" s="4"/>
      <c r="F65" s="4"/>
    </row>
    <row r="66" spans="1:6">
      <c r="A66" s="3"/>
      <c r="B66" s="4"/>
      <c r="C66" s="4"/>
      <c r="D66" s="4"/>
      <c r="E66" s="4"/>
      <c r="F66" s="4"/>
    </row>
    <row r="67" spans="1:6">
      <c r="A67" s="3"/>
      <c r="B67" s="4"/>
      <c r="C67" s="4"/>
      <c r="D67" s="4"/>
      <c r="E67" s="4"/>
      <c r="F67" s="4"/>
    </row>
    <row r="68" spans="1:6">
      <c r="A68" s="3"/>
      <c r="B68" s="4"/>
      <c r="C68" s="4"/>
      <c r="D68" s="4"/>
      <c r="E68" s="4"/>
      <c r="F68" s="4"/>
    </row>
    <row r="69" spans="1:6">
      <c r="A69" s="3"/>
      <c r="B69" s="4"/>
      <c r="C69" s="4"/>
      <c r="D69" s="4"/>
      <c r="E69" s="4"/>
      <c r="F69" s="4"/>
    </row>
    <row r="70" spans="1:6">
      <c r="A70" s="3"/>
      <c r="B70" s="4"/>
      <c r="C70" s="4"/>
      <c r="D70" s="4"/>
      <c r="E70" s="4"/>
      <c r="F70" s="4"/>
    </row>
    <row r="71" spans="1:6">
      <c r="A71" s="3"/>
      <c r="B71" s="4"/>
      <c r="C71" s="4"/>
      <c r="D71" s="4"/>
      <c r="E71" s="4"/>
      <c r="F71" s="4"/>
    </row>
    <row r="72" spans="1:6">
      <c r="A72" s="3"/>
      <c r="B72" s="4"/>
      <c r="C72" s="4"/>
      <c r="D72" s="4"/>
      <c r="E72" s="4"/>
      <c r="F72" s="4"/>
    </row>
    <row r="73" spans="1:6">
      <c r="A73" s="3"/>
      <c r="B73" s="4"/>
      <c r="C73" s="4"/>
      <c r="D73" s="4"/>
      <c r="E73" s="4"/>
      <c r="F73" s="4"/>
    </row>
    <row r="74" spans="1:6">
      <c r="A74" s="3"/>
      <c r="B74" s="4"/>
      <c r="C74" s="4"/>
      <c r="D74" s="4"/>
      <c r="E74" s="4"/>
      <c r="F74" s="4"/>
    </row>
    <row r="75" spans="1:6">
      <c r="A75" s="3"/>
      <c r="B75" s="4"/>
      <c r="C75" s="4"/>
      <c r="D75" s="4"/>
      <c r="E75" s="4"/>
      <c r="F75" s="4"/>
    </row>
    <row r="76" spans="1:6">
      <c r="A76" s="3"/>
      <c r="B76" s="4"/>
      <c r="C76" s="4"/>
      <c r="D76" s="4"/>
      <c r="E76" s="4"/>
      <c r="F76" s="4"/>
    </row>
    <row r="77" spans="1:6">
      <c r="A77" s="3"/>
      <c r="B77" s="4"/>
      <c r="C77" s="4"/>
      <c r="D77" s="4"/>
      <c r="E77" s="4"/>
      <c r="F77" s="4"/>
    </row>
    <row r="78" spans="1:6">
      <c r="A78" s="3"/>
      <c r="B78" s="4"/>
      <c r="C78" s="4"/>
      <c r="D78" s="4"/>
      <c r="E78" s="4"/>
      <c r="F78" s="4"/>
    </row>
    <row r="79" spans="1:6">
      <c r="A79" s="3"/>
      <c r="B79" s="4"/>
      <c r="C79" s="4"/>
      <c r="D79" s="4"/>
      <c r="E79" s="4"/>
      <c r="F79" s="4"/>
    </row>
    <row r="80" spans="1:6">
      <c r="A80" s="3"/>
      <c r="B80" s="4"/>
      <c r="C80" s="4"/>
      <c r="D80" s="4"/>
      <c r="E80" s="4"/>
      <c r="F80" s="4"/>
    </row>
    <row r="81" spans="1:6">
      <c r="A81" s="3"/>
      <c r="B81" s="4"/>
      <c r="C81" s="4"/>
      <c r="D81" s="4"/>
      <c r="E81" s="4"/>
      <c r="F81" s="4"/>
    </row>
    <row r="82" spans="1:6">
      <c r="A82" s="3"/>
      <c r="B82" s="4"/>
      <c r="C82" s="4"/>
      <c r="D82" s="4"/>
      <c r="E82" s="4"/>
      <c r="F82" s="4"/>
    </row>
    <row r="83" spans="1:6">
      <c r="A83" s="3"/>
      <c r="B83" s="4"/>
      <c r="C83" s="4"/>
      <c r="D83" s="4"/>
      <c r="E83" s="4"/>
      <c r="F83" s="4"/>
    </row>
    <row r="84" spans="1:6">
      <c r="A84" s="3"/>
      <c r="B84" s="4"/>
      <c r="C84" s="4"/>
      <c r="D84" s="4"/>
      <c r="E84" s="4"/>
      <c r="F84" s="4"/>
    </row>
    <row r="85" spans="1:6">
      <c r="A85" s="3"/>
      <c r="B85" s="4"/>
      <c r="C85" s="4"/>
      <c r="D85" s="4"/>
      <c r="E85" s="4"/>
      <c r="F85" s="4"/>
    </row>
    <row r="86" spans="1:6">
      <c r="A86" s="3"/>
      <c r="B86" s="4"/>
      <c r="C86" s="4"/>
      <c r="D86" s="4"/>
      <c r="E86" s="4"/>
      <c r="F86" s="4"/>
    </row>
    <row r="87" spans="1:6">
      <c r="A87" s="3"/>
      <c r="B87" s="4"/>
      <c r="C87" s="4"/>
      <c r="D87" s="4"/>
      <c r="E87" s="4"/>
      <c r="F87" s="4"/>
    </row>
    <row r="88" spans="1:6">
      <c r="A88" s="3"/>
      <c r="B88" s="4"/>
      <c r="C88" s="4"/>
      <c r="D88" s="4"/>
      <c r="E88" s="4"/>
      <c r="F88" s="4"/>
    </row>
    <row r="89" spans="1:6">
      <c r="A89" s="3"/>
      <c r="B89" s="4"/>
      <c r="C89" s="4"/>
      <c r="D89" s="4"/>
      <c r="E89" s="4"/>
      <c r="F89" s="4"/>
    </row>
    <row r="90" spans="1:6">
      <c r="A90" s="3"/>
      <c r="B90" s="4"/>
      <c r="C90" s="4"/>
      <c r="D90" s="4"/>
      <c r="E90" s="4"/>
      <c r="F90" s="4"/>
    </row>
    <row r="91" spans="1:6">
      <c r="A91" s="3"/>
      <c r="B91" s="4"/>
      <c r="C91" s="4"/>
      <c r="D91" s="4"/>
      <c r="E91" s="4"/>
      <c r="F91" s="4"/>
    </row>
    <row r="92" spans="1:6">
      <c r="A92" s="3"/>
      <c r="B92" s="4"/>
      <c r="C92" s="4"/>
      <c r="D92" s="4"/>
      <c r="E92" s="4"/>
      <c r="F92" s="4"/>
    </row>
    <row r="93" spans="1:6">
      <c r="A93" s="3"/>
      <c r="B93" s="4"/>
      <c r="C93" s="4"/>
      <c r="D93" s="4"/>
      <c r="E93" s="4"/>
      <c r="F93" s="4"/>
    </row>
    <row r="94" spans="1:6">
      <c r="A94" s="3"/>
      <c r="B94" s="4"/>
      <c r="C94" s="4"/>
      <c r="D94" s="4"/>
      <c r="E94" s="4"/>
      <c r="F94" s="4"/>
    </row>
    <row r="95" spans="1:6">
      <c r="A95" s="3"/>
      <c r="B95" s="4"/>
      <c r="C95" s="4"/>
      <c r="D95" s="4"/>
      <c r="E95" s="4"/>
      <c r="F95" s="4"/>
    </row>
    <row r="96" spans="1:6">
      <c r="A96" s="3"/>
      <c r="B96" s="4"/>
      <c r="C96" s="4"/>
      <c r="D96" s="4"/>
      <c r="E96" s="4"/>
      <c r="F96" s="4"/>
    </row>
    <row r="97" spans="1:6">
      <c r="A97" s="3"/>
      <c r="B97" s="4"/>
      <c r="C97" s="4"/>
      <c r="D97" s="4"/>
      <c r="E97" s="4"/>
      <c r="F97" s="4"/>
    </row>
    <row r="98" spans="1:6">
      <c r="A98" s="3"/>
      <c r="B98" s="4"/>
      <c r="C98" s="4"/>
      <c r="D98" s="4"/>
      <c r="E98" s="4"/>
      <c r="F98" s="4"/>
    </row>
    <row r="99" spans="1:6">
      <c r="A99" s="3"/>
      <c r="B99" s="4"/>
      <c r="C99" s="4"/>
      <c r="D99" s="4"/>
      <c r="E99" s="4"/>
      <c r="F99" s="4"/>
    </row>
    <row r="100" spans="1:6">
      <c r="A100" s="3"/>
      <c r="B100" s="4"/>
      <c r="C100" s="4"/>
      <c r="D100" s="4"/>
      <c r="E100" s="4"/>
      <c r="F100" s="4"/>
    </row>
    <row r="101" spans="1:6">
      <c r="A101" s="3"/>
      <c r="B101" s="4"/>
      <c r="C101" s="4"/>
      <c r="D101" s="4"/>
      <c r="E101" s="4"/>
      <c r="F101" s="4"/>
    </row>
    <row r="102" spans="1:6">
      <c r="A102" s="3"/>
      <c r="B102" s="4"/>
      <c r="C102" s="4"/>
      <c r="D102" s="4"/>
      <c r="E102" s="4"/>
      <c r="F102" s="4"/>
    </row>
    <row r="103" spans="1:6">
      <c r="A103" s="3"/>
      <c r="B103" s="4"/>
      <c r="C103" s="4"/>
      <c r="D103" s="4"/>
      <c r="E103" s="4"/>
      <c r="F103" s="4"/>
    </row>
    <row r="104" spans="1:6">
      <c r="A104" s="3"/>
      <c r="B104" s="4"/>
      <c r="C104" s="4"/>
      <c r="D104" s="4"/>
      <c r="E104" s="4"/>
      <c r="F104" s="4"/>
    </row>
    <row r="105" spans="1:6">
      <c r="A105" s="3"/>
      <c r="B105" s="4"/>
      <c r="C105" s="4"/>
      <c r="D105" s="4"/>
      <c r="E105" s="4"/>
      <c r="F105" s="4"/>
    </row>
    <row r="106" spans="1:6">
      <c r="A106" s="3"/>
      <c r="B106" s="4"/>
      <c r="C106" s="4"/>
      <c r="D106" s="4"/>
      <c r="E106" s="4"/>
      <c r="F106" s="4"/>
    </row>
    <row r="107" spans="1:6">
      <c r="A107" s="3"/>
      <c r="B107" s="4"/>
      <c r="C107" s="4"/>
      <c r="D107" s="4"/>
      <c r="E107" s="4"/>
      <c r="F107" s="4"/>
    </row>
    <row r="108" spans="1:6">
      <c r="A108" s="3"/>
      <c r="B108" s="4"/>
      <c r="C108" s="4"/>
      <c r="D108" s="4"/>
      <c r="E108" s="4"/>
      <c r="F108" s="4"/>
    </row>
    <row r="109" spans="1:6">
      <c r="A109" s="3"/>
      <c r="B109" s="4"/>
      <c r="C109" s="4"/>
      <c r="D109" s="4"/>
      <c r="E109" s="4"/>
      <c r="F109" s="4"/>
    </row>
    <row r="110" spans="1:6">
      <c r="A110" s="3"/>
      <c r="B110" s="4"/>
      <c r="C110" s="4"/>
      <c r="D110" s="4"/>
      <c r="E110" s="4"/>
      <c r="F110" s="4"/>
    </row>
    <row r="111" spans="1:6">
      <c r="A111" s="3"/>
      <c r="B111" s="4"/>
      <c r="C111" s="4"/>
      <c r="D111" s="4"/>
      <c r="E111" s="4"/>
      <c r="F111" s="4"/>
    </row>
    <row r="112" spans="1:6">
      <c r="A112" s="3"/>
      <c r="B112" s="4"/>
      <c r="C112" s="4"/>
      <c r="D112" s="4"/>
      <c r="E112" s="4"/>
      <c r="F112" s="4"/>
    </row>
    <row r="113" spans="1:6">
      <c r="A113" s="3"/>
      <c r="B113" s="4"/>
      <c r="C113" s="4"/>
      <c r="D113" s="4"/>
      <c r="E113" s="4"/>
      <c r="F113" s="4"/>
    </row>
    <row r="114" spans="1:6">
      <c r="A114" s="3"/>
      <c r="B114" s="4"/>
      <c r="C114" s="4"/>
      <c r="D114" s="4"/>
      <c r="E114" s="4"/>
      <c r="F114" s="4"/>
    </row>
    <row r="115" spans="1:6">
      <c r="A115" s="3"/>
      <c r="B115" s="4"/>
      <c r="C115" s="4"/>
      <c r="D115" s="4"/>
      <c r="E115" s="4"/>
      <c r="F115" s="4"/>
    </row>
    <row r="116" spans="1:6">
      <c r="A116" s="3"/>
      <c r="B116" s="4"/>
      <c r="C116" s="4"/>
      <c r="D116" s="4"/>
      <c r="E116" s="4"/>
      <c r="F116" s="4"/>
    </row>
    <row r="117" spans="1:6">
      <c r="A117" s="3"/>
      <c r="B117" s="4"/>
      <c r="C117" s="4"/>
      <c r="D117" s="4"/>
      <c r="E117" s="4"/>
      <c r="F117" s="4"/>
    </row>
    <row r="118" spans="1:6">
      <c r="A118" s="3"/>
      <c r="B118" s="4"/>
      <c r="C118" s="4"/>
      <c r="D118" s="4"/>
      <c r="E118" s="4"/>
      <c r="F118" s="4"/>
    </row>
    <row r="119" spans="1:6">
      <c r="A119" s="3"/>
      <c r="B119" s="4"/>
      <c r="C119" s="4"/>
      <c r="D119" s="4"/>
      <c r="E119" s="4"/>
      <c r="F119" s="4"/>
    </row>
    <row r="120" spans="1:6">
      <c r="A120" s="3"/>
      <c r="B120" s="4"/>
      <c r="C120" s="4"/>
      <c r="D120" s="4"/>
      <c r="E120" s="4"/>
      <c r="F120" s="4"/>
    </row>
    <row r="121" spans="1:6">
      <c r="A121" s="3"/>
      <c r="B121" s="4"/>
      <c r="C121" s="4"/>
      <c r="D121" s="4"/>
      <c r="E121" s="4"/>
      <c r="F121" s="4"/>
    </row>
    <row r="122" spans="1:6">
      <c r="A122" s="3"/>
      <c r="B122" s="4"/>
      <c r="C122" s="4"/>
      <c r="D122" s="4"/>
      <c r="E122" s="4"/>
      <c r="F122" s="4"/>
    </row>
    <row r="123" spans="1:6">
      <c r="A123" s="3"/>
      <c r="B123" s="4"/>
      <c r="C123" s="4"/>
      <c r="D123" s="4"/>
      <c r="E123" s="4"/>
      <c r="F123" s="4"/>
    </row>
    <row r="124" spans="1:6">
      <c r="A124" s="3"/>
      <c r="B124" s="4"/>
      <c r="C124" s="4"/>
      <c r="D124" s="4"/>
      <c r="E124" s="4"/>
      <c r="F124" s="4"/>
    </row>
    <row r="125" spans="1:6">
      <c r="A125" s="3"/>
      <c r="B125" s="4"/>
      <c r="C125" s="4"/>
      <c r="D125" s="4"/>
      <c r="E125" s="4"/>
      <c r="F125" s="4"/>
    </row>
    <row r="126" spans="1:6">
      <c r="A126" s="3"/>
      <c r="B126" s="4"/>
      <c r="C126" s="4"/>
      <c r="D126" s="4"/>
      <c r="E126" s="4"/>
      <c r="F126" s="4"/>
    </row>
    <row r="127" spans="1:6">
      <c r="A127" s="3"/>
      <c r="B127" s="4"/>
      <c r="C127" s="4"/>
      <c r="D127" s="4"/>
      <c r="E127" s="4"/>
      <c r="F127" s="4"/>
    </row>
    <row r="128" spans="1:6">
      <c r="A128" s="3"/>
      <c r="B128" s="4"/>
      <c r="C128" s="4"/>
      <c r="D128" s="4"/>
      <c r="E128" s="4"/>
      <c r="F128" s="4"/>
    </row>
    <row r="129" spans="1:6">
      <c r="A129" s="3"/>
      <c r="B129" s="4"/>
      <c r="C129" s="4"/>
      <c r="D129" s="4"/>
      <c r="E129" s="4"/>
      <c r="F129" s="4"/>
    </row>
    <row r="130" spans="1:6">
      <c r="A130" s="3"/>
      <c r="B130" s="4"/>
      <c r="C130" s="4"/>
      <c r="D130" s="4"/>
      <c r="E130" s="4"/>
      <c r="F130" s="4"/>
    </row>
    <row r="131" spans="1:6">
      <c r="A131" s="3"/>
      <c r="B131" s="4"/>
      <c r="C131" s="4"/>
      <c r="D131" s="4"/>
      <c r="E131" s="4"/>
      <c r="F131" s="4"/>
    </row>
    <row r="132" spans="1:6">
      <c r="A132" s="3"/>
      <c r="B132" s="4"/>
      <c r="C132" s="4"/>
      <c r="D132" s="4"/>
      <c r="E132" s="4"/>
      <c r="F132" s="4"/>
    </row>
    <row r="133" spans="1:6">
      <c r="A133" s="3"/>
      <c r="B133" s="4"/>
      <c r="C133" s="4"/>
      <c r="D133" s="4"/>
      <c r="E133" s="4"/>
      <c r="F133" s="4"/>
    </row>
    <row r="134" spans="1:6">
      <c r="A134" s="3"/>
      <c r="B134" s="4"/>
      <c r="C134" s="4"/>
      <c r="D134" s="4"/>
      <c r="E134" s="4"/>
      <c r="F134" s="4"/>
    </row>
    <row r="135" spans="1:6">
      <c r="A135" s="3"/>
      <c r="B135" s="4"/>
      <c r="C135" s="4"/>
      <c r="D135" s="4"/>
      <c r="E135" s="4"/>
      <c r="F135" s="4"/>
    </row>
    <row r="136" spans="1:6">
      <c r="A136" s="3"/>
      <c r="B136" s="4"/>
      <c r="C136" s="4"/>
      <c r="D136" s="4"/>
      <c r="E136" s="4"/>
      <c r="F136" s="4"/>
    </row>
    <row r="137" spans="1:6">
      <c r="A137" s="3"/>
      <c r="B137" s="4"/>
      <c r="C137" s="4"/>
      <c r="D137" s="4"/>
      <c r="E137" s="4"/>
      <c r="F137" s="4"/>
    </row>
    <row r="138" spans="1:6">
      <c r="A138" s="3"/>
      <c r="B138" s="4"/>
      <c r="C138" s="4"/>
      <c r="D138" s="4"/>
      <c r="E138" s="4"/>
      <c r="F138" s="4"/>
    </row>
    <row r="139" spans="1:6">
      <c r="A139" s="3"/>
      <c r="B139" s="4"/>
      <c r="C139" s="4"/>
      <c r="D139" s="4"/>
      <c r="E139" s="4"/>
      <c r="F139" s="4"/>
    </row>
    <row r="140" spans="1:6">
      <c r="A140" s="3"/>
      <c r="B140" s="4"/>
      <c r="C140" s="4"/>
      <c r="D140" s="4"/>
      <c r="E140" s="4"/>
      <c r="F140" s="4"/>
    </row>
    <row r="141" spans="1:6">
      <c r="A141" s="3"/>
      <c r="B141" s="4"/>
      <c r="C141" s="4"/>
      <c r="D141" s="4"/>
      <c r="E141" s="4"/>
      <c r="F141" s="4"/>
    </row>
    <row r="142" spans="1:6">
      <c r="A142" s="3"/>
      <c r="B142" s="4"/>
      <c r="C142" s="4"/>
      <c r="D142" s="4"/>
      <c r="E142" s="4"/>
      <c r="F142" s="4"/>
    </row>
    <row r="143" spans="1:6">
      <c r="A143" s="3"/>
      <c r="B143" s="4"/>
      <c r="C143" s="4"/>
      <c r="D143" s="4"/>
      <c r="E143" s="4"/>
      <c r="F143" s="4"/>
    </row>
    <row r="144" spans="1:6">
      <c r="A144" s="3"/>
      <c r="B144" s="4"/>
      <c r="C144" s="4"/>
      <c r="D144" s="4"/>
      <c r="E144" s="4"/>
      <c r="F144" s="4"/>
    </row>
    <row r="145" spans="1:6">
      <c r="A145" s="3"/>
      <c r="B145" s="4"/>
      <c r="C145" s="4"/>
      <c r="D145" s="4"/>
      <c r="E145" s="4"/>
      <c r="F145" s="4"/>
    </row>
    <row r="146" spans="1:6">
      <c r="A146" s="3"/>
      <c r="B146" s="4"/>
      <c r="C146" s="4"/>
      <c r="D146" s="4"/>
      <c r="E146" s="4"/>
      <c r="F146" s="4"/>
    </row>
    <row r="147" spans="1:6">
      <c r="A147" s="3"/>
      <c r="B147" s="4"/>
      <c r="C147" s="4"/>
      <c r="D147" s="4"/>
      <c r="E147" s="4"/>
      <c r="F147" s="4"/>
    </row>
    <row r="148" spans="1:6">
      <c r="A148" s="3"/>
      <c r="B148" s="4"/>
      <c r="C148" s="4"/>
      <c r="D148" s="4"/>
      <c r="E148" s="4"/>
      <c r="F148" s="4"/>
    </row>
    <row r="149" spans="1:6">
      <c r="A149" s="3"/>
      <c r="B149" s="4"/>
      <c r="C149" s="4"/>
      <c r="D149" s="4"/>
      <c r="E149" s="4"/>
      <c r="F149" s="4"/>
    </row>
    <row r="150" spans="1:6">
      <c r="A150" s="3"/>
      <c r="B150" s="4"/>
      <c r="C150" s="4"/>
      <c r="D150" s="4"/>
      <c r="E150" s="4"/>
      <c r="F150" s="4"/>
    </row>
    <row r="151" spans="1:6">
      <c r="A151" s="3"/>
      <c r="B151" s="4"/>
      <c r="C151" s="4"/>
      <c r="D151" s="4"/>
      <c r="E151" s="4"/>
      <c r="F151" s="4"/>
    </row>
    <row r="152" spans="1:6">
      <c r="A152" s="3"/>
      <c r="B152" s="4"/>
      <c r="C152" s="4"/>
      <c r="D152" s="4"/>
      <c r="E152" s="4"/>
      <c r="F152" s="4"/>
    </row>
    <row r="153" spans="1:6">
      <c r="A153" s="3"/>
      <c r="B153" s="4"/>
      <c r="C153" s="4"/>
      <c r="D153" s="4"/>
      <c r="E153" s="4"/>
      <c r="F153" s="4"/>
    </row>
    <row r="154" spans="1:6">
      <c r="A154" s="3"/>
      <c r="B154" s="4"/>
      <c r="C154" s="4"/>
      <c r="D154" s="4"/>
      <c r="E154" s="4"/>
      <c r="F154" s="4"/>
    </row>
    <row r="155" spans="1:6">
      <c r="A155" s="3"/>
      <c r="B155" s="4"/>
      <c r="C155" s="4"/>
      <c r="D155" s="4"/>
      <c r="E155" s="4"/>
      <c r="F155" s="4"/>
    </row>
    <row r="156" spans="1:6">
      <c r="A156" s="3"/>
      <c r="B156" s="4"/>
      <c r="C156" s="4"/>
      <c r="D156" s="4"/>
      <c r="E156" s="4"/>
      <c r="F156" s="4"/>
    </row>
    <row r="157" spans="1:6">
      <c r="A157" s="3"/>
      <c r="B157" s="4"/>
      <c r="C157" s="4"/>
      <c r="D157" s="4"/>
      <c r="E157" s="4"/>
      <c r="F157" s="4"/>
    </row>
    <row r="158" spans="1:6">
      <c r="A158" s="3"/>
      <c r="B158" s="4"/>
      <c r="C158" s="4"/>
      <c r="D158" s="4"/>
      <c r="E158" s="4"/>
      <c r="F158" s="4"/>
    </row>
    <row r="159" spans="1:6">
      <c r="A159" s="3"/>
      <c r="B159" s="4"/>
      <c r="C159" s="4"/>
      <c r="D159" s="4"/>
      <c r="E159" s="4"/>
      <c r="F159" s="4"/>
    </row>
    <row r="160" spans="1:6">
      <c r="A160" s="3"/>
      <c r="B160" s="4"/>
      <c r="C160" s="4"/>
      <c r="D160" s="4"/>
      <c r="E160" s="4"/>
      <c r="F160" s="4"/>
    </row>
    <row r="161" spans="1:6">
      <c r="A161" s="3"/>
      <c r="B161" s="4"/>
      <c r="C161" s="4"/>
      <c r="D161" s="4"/>
      <c r="E161" s="4"/>
      <c r="F161" s="4"/>
    </row>
    <row r="162" spans="1:6">
      <c r="A162" s="3"/>
      <c r="B162" s="4"/>
      <c r="C162" s="4"/>
      <c r="D162" s="4"/>
      <c r="E162" s="4"/>
      <c r="F162" s="4"/>
    </row>
    <row r="163" spans="1:6">
      <c r="A163" s="3"/>
      <c r="B163" s="4"/>
      <c r="C163" s="4"/>
      <c r="D163" s="4"/>
      <c r="E163" s="4"/>
      <c r="F163" s="4"/>
    </row>
    <row r="164" spans="1:6">
      <c r="A164" s="3"/>
      <c r="B164" s="4"/>
      <c r="C164" s="4"/>
      <c r="D164" s="4"/>
      <c r="E164" s="4"/>
      <c r="F164" s="4"/>
    </row>
    <row r="165" spans="1:6">
      <c r="A165" s="3"/>
      <c r="B165" s="4"/>
      <c r="C165" s="4"/>
      <c r="D165" s="4"/>
      <c r="E165" s="4"/>
      <c r="F165" s="4"/>
    </row>
    <row r="166" spans="1:6">
      <c r="A166" s="3"/>
      <c r="B166" s="4"/>
      <c r="C166" s="4"/>
      <c r="D166" s="4"/>
      <c r="E166" s="4"/>
      <c r="F166" s="4"/>
    </row>
    <row r="167" spans="1:6">
      <c r="A167" s="3"/>
      <c r="B167" s="4"/>
      <c r="C167" s="4"/>
      <c r="D167" s="4"/>
      <c r="E167" s="4"/>
      <c r="F167" s="4"/>
    </row>
    <row r="168" spans="1:6">
      <c r="A168" s="3"/>
      <c r="B168" s="4"/>
      <c r="C168" s="4"/>
      <c r="D168" s="4"/>
      <c r="E168" s="4"/>
      <c r="F168" s="4"/>
    </row>
    <row r="169" spans="1:6">
      <c r="A169" s="3"/>
      <c r="B169" s="4"/>
      <c r="C169" s="4"/>
      <c r="D169" s="4"/>
      <c r="E169" s="4"/>
      <c r="F169" s="4"/>
    </row>
    <row r="170" spans="1:6">
      <c r="A170" s="3"/>
      <c r="B170" s="4"/>
      <c r="C170" s="4"/>
      <c r="D170" s="4"/>
      <c r="E170" s="4"/>
      <c r="F170" s="4"/>
    </row>
    <row r="171" spans="1:6">
      <c r="A171" s="3"/>
      <c r="B171" s="4"/>
      <c r="C171" s="4"/>
      <c r="D171" s="4"/>
      <c r="E171" s="4"/>
      <c r="F171" s="4"/>
    </row>
    <row r="172" spans="1:6">
      <c r="A172" s="3"/>
      <c r="B172" s="4"/>
      <c r="C172" s="4"/>
      <c r="D172" s="4"/>
      <c r="E172" s="4"/>
      <c r="F172" s="4"/>
    </row>
    <row r="173" spans="1:6">
      <c r="A173" s="3"/>
      <c r="B173" s="4"/>
      <c r="C173" s="4"/>
      <c r="D173" s="4"/>
      <c r="E173" s="4"/>
      <c r="F173" s="4"/>
    </row>
    <row r="174" spans="1:6">
      <c r="A174" s="3"/>
      <c r="B174" s="4"/>
      <c r="C174" s="4"/>
      <c r="D174" s="4"/>
      <c r="E174" s="4"/>
      <c r="F174" s="4"/>
    </row>
    <row r="175" spans="1:6">
      <c r="A175" s="3"/>
      <c r="B175" s="4"/>
      <c r="C175" s="4"/>
      <c r="D175" s="4"/>
      <c r="E175" s="4"/>
      <c r="F175" s="4"/>
    </row>
    <row r="176" spans="1:6">
      <c r="A176" s="3"/>
      <c r="B176" s="4"/>
      <c r="C176" s="4"/>
      <c r="D176" s="4"/>
      <c r="E176" s="4"/>
      <c r="F176" s="4"/>
    </row>
    <row r="177" spans="1:6">
      <c r="A177" s="3"/>
      <c r="B177" s="4"/>
      <c r="C177" s="4"/>
      <c r="D177" s="4"/>
      <c r="E177" s="4"/>
      <c r="F177" s="4"/>
    </row>
    <row r="178" spans="1:6">
      <c r="A178" s="3"/>
      <c r="B178" s="4"/>
      <c r="C178" s="4"/>
      <c r="D178" s="4"/>
      <c r="E178" s="4"/>
      <c r="F178" s="4"/>
    </row>
    <row r="179" spans="1:6">
      <c r="A179" s="3"/>
      <c r="B179" s="4"/>
      <c r="C179" s="4"/>
      <c r="D179" s="4"/>
      <c r="E179" s="4"/>
      <c r="F179" s="4"/>
    </row>
    <row r="180" spans="1:6">
      <c r="A180" s="3"/>
      <c r="B180" s="4"/>
      <c r="C180" s="4"/>
      <c r="D180" s="4"/>
      <c r="E180" s="4"/>
      <c r="F180" s="4"/>
    </row>
    <row r="181" spans="1:6">
      <c r="A181" s="3"/>
      <c r="B181" s="4"/>
      <c r="C181" s="4"/>
      <c r="D181" s="4"/>
      <c r="E181" s="4"/>
      <c r="F181" s="4"/>
    </row>
    <row r="182" spans="1:6">
      <c r="A182" s="3"/>
      <c r="B182" s="4"/>
      <c r="C182" s="4"/>
      <c r="D182" s="4"/>
      <c r="E182" s="4"/>
      <c r="F182" s="4"/>
    </row>
    <row r="183" spans="1:6">
      <c r="A183" s="3"/>
      <c r="B183" s="4"/>
      <c r="C183" s="4"/>
      <c r="D183" s="4"/>
      <c r="E183" s="4"/>
      <c r="F183" s="4"/>
    </row>
    <row r="184" spans="1:6">
      <c r="A184" s="3"/>
      <c r="B184" s="4"/>
      <c r="C184" s="4"/>
      <c r="D184" s="4"/>
      <c r="E184" s="4"/>
      <c r="F184" s="4"/>
    </row>
    <row r="185" spans="1:6">
      <c r="A185" s="3"/>
      <c r="B185" s="4"/>
      <c r="C185" s="4"/>
      <c r="D185" s="4"/>
      <c r="E185" s="4"/>
      <c r="F185" s="4"/>
    </row>
    <row r="186" spans="1:6">
      <c r="A186" s="3"/>
      <c r="B186" s="4"/>
      <c r="C186" s="4"/>
      <c r="D186" s="4"/>
      <c r="E186" s="4"/>
      <c r="F186" s="4"/>
    </row>
    <row r="187" spans="1:6">
      <c r="A187" s="3"/>
      <c r="B187" s="4"/>
      <c r="C187" s="4"/>
      <c r="D187" s="4"/>
      <c r="E187" s="4"/>
      <c r="F187" s="4"/>
    </row>
    <row r="188" spans="1:6">
      <c r="A188" s="3"/>
      <c r="B188" s="4"/>
      <c r="C188" s="4"/>
      <c r="D188" s="4"/>
      <c r="E188" s="4"/>
      <c r="F188" s="4"/>
    </row>
    <row r="189" spans="1:6">
      <c r="A189" s="3"/>
      <c r="B189" s="4"/>
      <c r="C189" s="4"/>
      <c r="D189" s="4"/>
      <c r="E189" s="4"/>
      <c r="F189" s="4"/>
    </row>
    <row r="190" spans="1:6">
      <c r="A190" s="3"/>
      <c r="B190" s="4"/>
      <c r="C190" s="4"/>
      <c r="D190" s="4"/>
      <c r="E190" s="4"/>
      <c r="F190" s="4"/>
    </row>
    <row r="191" spans="1:6">
      <c r="A191" s="3"/>
      <c r="B191" s="4"/>
      <c r="C191" s="4"/>
      <c r="D191" s="4"/>
      <c r="E191" s="4"/>
      <c r="F191" s="4"/>
    </row>
    <row r="192" spans="1:6">
      <c r="A192" s="3"/>
      <c r="B192" s="4"/>
      <c r="C192" s="4"/>
      <c r="D192" s="4"/>
      <c r="E192" s="4"/>
      <c r="F192" s="4"/>
    </row>
    <row r="193" spans="1:6">
      <c r="A193" s="3"/>
      <c r="B193" s="4"/>
      <c r="C193" s="4"/>
      <c r="D193" s="4"/>
      <c r="E193" s="4"/>
      <c r="F193" s="4"/>
    </row>
    <row r="194" spans="1:6">
      <c r="A194" s="3"/>
      <c r="B194" s="4"/>
      <c r="C194" s="4"/>
      <c r="D194" s="4"/>
      <c r="E194" s="4"/>
      <c r="F194" s="4"/>
    </row>
    <row r="195" spans="1:6">
      <c r="A195" s="3"/>
      <c r="B195" s="4"/>
      <c r="C195" s="4"/>
      <c r="D195" s="4"/>
      <c r="E195" s="4"/>
      <c r="F195" s="4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9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9" sqref="A9"/>
    </sheetView>
  </sheetViews>
  <sheetFormatPr defaultRowHeight="12.75"/>
  <cols>
    <col min="1" max="1" width="30.28515625" style="13" customWidth="1"/>
    <col min="2" max="2" width="17" style="14" bestFit="1" customWidth="1"/>
    <col min="3" max="3" width="21.28515625" style="14" bestFit="1" customWidth="1"/>
    <col min="4" max="4" width="14.5703125" style="13" bestFit="1" customWidth="1"/>
    <col min="5" max="5" width="15.7109375" style="13" bestFit="1" customWidth="1"/>
    <col min="6" max="6" width="17.85546875" style="13" bestFit="1" customWidth="1"/>
    <col min="7" max="18" width="8.28515625" style="13" customWidth="1"/>
    <col min="19" max="19" width="33.28515625" style="13" customWidth="1"/>
    <col min="20" max="20" width="9.140625" style="9"/>
    <col min="21" max="23" width="9.28515625" style="9" customWidth="1"/>
    <col min="24" max="16384" width="9.140625" style="9"/>
  </cols>
  <sheetData>
    <row r="1" spans="1:22">
      <c r="A1" s="7"/>
      <c r="B1" s="8"/>
      <c r="C1" s="8"/>
      <c r="D1" s="8"/>
      <c r="E1" s="8"/>
      <c r="F1" s="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</row>
    <row r="2" spans="1:22">
      <c r="A2" s="10"/>
      <c r="B2" s="11"/>
      <c r="C2" s="15" t="s">
        <v>41</v>
      </c>
      <c r="D2" s="18" t="s">
        <v>42</v>
      </c>
      <c r="E2" s="17" t="s">
        <v>43</v>
      </c>
      <c r="F2" s="40"/>
      <c r="G2" s="42" t="s">
        <v>117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10"/>
    </row>
    <row r="3" spans="1:22" s="16" customFormat="1">
      <c r="A3" s="30" t="s">
        <v>3</v>
      </c>
      <c r="B3" s="30" t="s">
        <v>40</v>
      </c>
      <c r="C3" s="25" t="s">
        <v>53</v>
      </c>
      <c r="D3" s="27" t="s">
        <v>29</v>
      </c>
      <c r="E3" s="26" t="s">
        <v>30</v>
      </c>
      <c r="F3" s="26" t="s">
        <v>83</v>
      </c>
      <c r="G3" s="30" t="s">
        <v>130</v>
      </c>
      <c r="H3" s="30" t="s">
        <v>131</v>
      </c>
      <c r="I3" s="30" t="s">
        <v>132</v>
      </c>
      <c r="J3" s="30" t="s">
        <v>133</v>
      </c>
      <c r="K3" s="30" t="s">
        <v>134</v>
      </c>
      <c r="L3" s="30" t="s">
        <v>135</v>
      </c>
      <c r="M3" s="30" t="s">
        <v>136</v>
      </c>
      <c r="N3" s="30" t="s">
        <v>137</v>
      </c>
      <c r="O3" s="30" t="s">
        <v>138</v>
      </c>
      <c r="P3" s="30" t="s">
        <v>139</v>
      </c>
      <c r="Q3" s="30" t="s">
        <v>101</v>
      </c>
      <c r="R3" s="30" t="s">
        <v>102</v>
      </c>
      <c r="S3" s="30" t="s">
        <v>5</v>
      </c>
    </row>
    <row r="4" spans="1:22">
      <c r="A4" s="49" t="s">
        <v>0</v>
      </c>
      <c r="B4" s="59" t="str">
        <f>VLOOKUP($A4,'Planning Flow'!$A:$G,5,FALSE)</f>
        <v>08 - Oct/12</v>
      </c>
      <c r="C4" s="59" t="str">
        <f>VLOOKUP($A4,'Planning Flow'!$A:$G,6,FALSE)</f>
        <v>Anchor</v>
      </c>
      <c r="D4" s="59" t="str">
        <f>VLOOKUP($A4,'Planning Flow'!$A:$G,7,FALSE)</f>
        <v>On Track</v>
      </c>
      <c r="E4" s="12" t="s">
        <v>39</v>
      </c>
      <c r="F4" s="4" t="s">
        <v>84</v>
      </c>
      <c r="G4" s="3">
        <v>0</v>
      </c>
      <c r="H4" s="3">
        <v>0</v>
      </c>
      <c r="I4" s="3" t="s">
        <v>103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4" t="str">
        <f>VLOOKUP(A4,'Raw Data'!A:AO,41,FALSE)</f>
        <v>No Dependencies</v>
      </c>
    </row>
    <row r="5" spans="1:22">
      <c r="A5" s="12" t="s">
        <v>1</v>
      </c>
      <c r="B5" s="59" t="str">
        <f>VLOOKUP(A5,'Planning Flow'!A:G,5,FALSE)</f>
        <v>05 - Jul/12</v>
      </c>
      <c r="C5" s="59" t="str">
        <f>VLOOKUP($A5,'Planning Flow'!$A:$G,6,FALSE)</f>
        <v>Anchor</v>
      </c>
      <c r="D5" s="59" t="str">
        <f>VLOOKUP($A5,'Planning Flow'!$A:$G,7,FALSE)</f>
        <v>On Track</v>
      </c>
      <c r="E5" s="12" t="s">
        <v>38</v>
      </c>
      <c r="F5" s="4" t="s">
        <v>115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 t="s">
        <v>103</v>
      </c>
      <c r="P5" s="3">
        <v>0</v>
      </c>
      <c r="Q5" s="3">
        <v>0</v>
      </c>
      <c r="R5" s="3">
        <v>1</v>
      </c>
      <c r="S5" s="4" t="str">
        <f>VLOOKUP(A5,'Raw Data'!A:AO,41,FALSE)</f>
        <v>Oracle 11G BD01 + ASM</v>
      </c>
      <c r="U5" s="4"/>
      <c r="V5" s="4"/>
    </row>
    <row r="6" spans="1:22">
      <c r="A6" s="50" t="s">
        <v>2</v>
      </c>
      <c r="B6" s="59" t="str">
        <f>VLOOKUP(A6,'Planning Flow'!A:G,5,FALSE)</f>
        <v>0 - TBD</v>
      </c>
      <c r="C6" s="59" t="str">
        <f>VLOOKUP($A6,'Planning Flow'!$A:$G,6,FALSE)</f>
        <v>Anchor</v>
      </c>
      <c r="D6" s="59" t="str">
        <f>VLOOKUP($A6,'Planning Flow'!$A:$G,7,FALSE)</f>
        <v>On Track</v>
      </c>
      <c r="E6" s="12" t="s">
        <v>38</v>
      </c>
      <c r="F6" s="4" t="s">
        <v>115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4" t="str">
        <f>VLOOKUP(A6,'Raw Data'!A:AO,41,FALSE)</f>
        <v>PENDING DATA</v>
      </c>
      <c r="U6" s="4"/>
      <c r="V6" s="4"/>
    </row>
    <row r="7" spans="1:22">
      <c r="A7" s="74" t="s">
        <v>125</v>
      </c>
      <c r="B7" s="4"/>
      <c r="C7" s="4"/>
      <c r="D7" s="12"/>
      <c r="E7" s="12"/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>
      <c r="A8" s="4"/>
      <c r="B8" s="4"/>
      <c r="C8" s="4"/>
      <c r="D8" s="12"/>
      <c r="E8" s="12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>
      <c r="A9" s="4"/>
      <c r="B9" s="4"/>
      <c r="C9" s="4"/>
      <c r="D9" s="12"/>
      <c r="E9" s="12"/>
      <c r="F9" s="12"/>
      <c r="G9" s="62">
        <f>COUNTA(G4:G8)</f>
        <v>3</v>
      </c>
      <c r="H9" s="62">
        <f t="shared" ref="H9:R9" si="0">COUNTA(H4:H8)</f>
        <v>3</v>
      </c>
      <c r="I9" s="62">
        <f t="shared" si="0"/>
        <v>3</v>
      </c>
      <c r="J9" s="62">
        <f t="shared" si="0"/>
        <v>3</v>
      </c>
      <c r="K9" s="62">
        <f t="shared" si="0"/>
        <v>3</v>
      </c>
      <c r="L9" s="62">
        <f t="shared" si="0"/>
        <v>3</v>
      </c>
      <c r="M9" s="62">
        <f t="shared" si="0"/>
        <v>3</v>
      </c>
      <c r="N9" s="62">
        <f t="shared" si="0"/>
        <v>3</v>
      </c>
      <c r="O9" s="62">
        <f t="shared" si="0"/>
        <v>3</v>
      </c>
      <c r="P9" s="62">
        <f t="shared" si="0"/>
        <v>3</v>
      </c>
      <c r="Q9" s="62">
        <f t="shared" si="0"/>
        <v>3</v>
      </c>
      <c r="R9" s="62">
        <f t="shared" si="0"/>
        <v>3</v>
      </c>
      <c r="S9" s="4"/>
    </row>
    <row r="10" spans="1:22">
      <c r="A10" s="4"/>
      <c r="B10" s="4"/>
      <c r="C10" s="4"/>
      <c r="D10" s="12"/>
      <c r="E10" s="12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>
      <c r="A11" s="4"/>
      <c r="B11" s="4"/>
      <c r="C11" s="4"/>
      <c r="D11" s="12"/>
      <c r="E11" s="12"/>
      <c r="F11" s="1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>
      <c r="A12" s="4"/>
      <c r="B12" s="4"/>
      <c r="C12" s="4"/>
      <c r="D12" s="12"/>
      <c r="E12" s="12"/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>
      <c r="A13" s="4"/>
      <c r="B13" s="4"/>
      <c r="C13" s="4"/>
      <c r="D13" s="12"/>
      <c r="E13" s="12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>
      <c r="A14" s="4"/>
      <c r="B14" s="4"/>
      <c r="C14" s="4"/>
      <c r="D14" s="12"/>
      <c r="E14" s="12"/>
      <c r="F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>
      <c r="A15" s="4"/>
      <c r="B15" s="4"/>
      <c r="C15" s="4"/>
      <c r="D15" s="12"/>
      <c r="E15" s="12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>
      <c r="A16" s="4"/>
      <c r="B16" s="4"/>
      <c r="C16" s="4"/>
      <c r="D16" s="12"/>
      <c r="E16" s="12"/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12"/>
      <c r="E17" s="12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12"/>
      <c r="E18" s="12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12"/>
      <c r="E19" s="12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12"/>
      <c r="E20" s="12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>
      <c r="A21" s="4"/>
      <c r="B21" s="4"/>
      <c r="C21" s="4"/>
      <c r="D21" s="12"/>
      <c r="E21" s="12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>
      <c r="A22" s="4"/>
      <c r="B22" s="4"/>
      <c r="C22" s="4"/>
      <c r="D22" s="12"/>
      <c r="E22" s="12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4"/>
      <c r="B23" s="4"/>
      <c r="C23" s="4"/>
      <c r="D23" s="12"/>
      <c r="E23" s="12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>
      <c r="A24" s="4"/>
      <c r="B24" s="4"/>
      <c r="C24" s="4"/>
      <c r="D24" s="12"/>
      <c r="E24" s="12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>
      <c r="A25" s="4"/>
      <c r="B25" s="4"/>
      <c r="C25" s="4"/>
      <c r="D25" s="12"/>
      <c r="E25" s="12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>
      <c r="A26" s="4"/>
      <c r="B26" s="4"/>
      <c r="C26" s="4"/>
      <c r="D26" s="12"/>
      <c r="E26" s="12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>
      <c r="A27" s="4"/>
      <c r="B27" s="4"/>
      <c r="C27" s="4"/>
      <c r="D27" s="12"/>
      <c r="E27" s="12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>
      <c r="A28" s="4"/>
      <c r="B28" s="4"/>
      <c r="C28" s="4"/>
      <c r="D28" s="12"/>
      <c r="E28" s="12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>
      <c r="A29" s="4"/>
      <c r="B29" s="4"/>
      <c r="C29" s="4"/>
      <c r="D29" s="12"/>
      <c r="E29" s="12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>
      <c r="A30" s="4"/>
      <c r="B30" s="4"/>
      <c r="C30" s="4"/>
      <c r="D30" s="12"/>
      <c r="E30" s="12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>
      <c r="A31" s="4"/>
      <c r="B31" s="4"/>
      <c r="C31" s="4"/>
      <c r="D31" s="12"/>
      <c r="E31" s="12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>
      <c r="A32" s="4"/>
      <c r="B32" s="4"/>
      <c r="C32" s="4"/>
      <c r="D32" s="12"/>
      <c r="E32" s="12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>
      <c r="A33" s="4"/>
      <c r="B33" s="4"/>
      <c r="C33" s="4"/>
      <c r="D33" s="12"/>
      <c r="E33" s="12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>
      <c r="A34" s="4"/>
      <c r="B34" s="4"/>
      <c r="C34" s="4"/>
      <c r="D34" s="12"/>
      <c r="E34" s="12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>
      <c r="A35" s="4"/>
      <c r="B35" s="4"/>
      <c r="C35" s="4"/>
      <c r="D35" s="12"/>
      <c r="E35" s="12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>
      <c r="A36" s="4"/>
      <c r="B36" s="4"/>
      <c r="C36" s="4"/>
      <c r="D36" s="12"/>
      <c r="E36" s="12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>
      <c r="A37" s="4"/>
      <c r="B37" s="4"/>
      <c r="C37" s="4"/>
      <c r="D37" s="12"/>
      <c r="E37" s="12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>
      <c r="A38" s="4"/>
      <c r="B38" s="4"/>
      <c r="C38" s="4"/>
      <c r="D38" s="12"/>
      <c r="E38" s="12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1:19">
      <c r="A39" s="4"/>
      <c r="B39" s="4"/>
      <c r="C39" s="4"/>
      <c r="D39" s="12"/>
      <c r="E39" s="12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>
      <c r="A40" s="4"/>
      <c r="B40" s="4"/>
      <c r="C40" s="4"/>
      <c r="D40" s="12"/>
      <c r="E40" s="12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19">
      <c r="A41" s="4"/>
      <c r="B41" s="4"/>
      <c r="C41" s="4"/>
      <c r="D41" s="12"/>
      <c r="E41" s="12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>
      <c r="A42" s="4"/>
      <c r="B42" s="4"/>
      <c r="C42" s="4"/>
      <c r="D42" s="12"/>
      <c r="E42" s="12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1:19">
      <c r="A43" s="4"/>
      <c r="B43" s="4"/>
      <c r="C43" s="4"/>
      <c r="D43" s="12"/>
      <c r="E43" s="12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>
      <c r="A44" s="4"/>
      <c r="B44" s="4"/>
      <c r="C44" s="4"/>
      <c r="D44" s="12"/>
      <c r="E44" s="12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1:19">
      <c r="A45" s="4"/>
      <c r="B45" s="4"/>
      <c r="C45" s="4"/>
      <c r="D45" s="12"/>
      <c r="E45" s="12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4"/>
      <c r="B46" s="4"/>
      <c r="C46" s="4"/>
      <c r="D46" s="12"/>
      <c r="E46" s="12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1:19">
      <c r="A47" s="4"/>
      <c r="B47" s="4"/>
      <c r="C47" s="4"/>
      <c r="D47" s="12"/>
      <c r="E47" s="12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>
      <c r="A48" s="4"/>
      <c r="B48" s="4"/>
      <c r="C48" s="4"/>
      <c r="D48" s="12"/>
      <c r="E48" s="12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>
      <c r="A49" s="4"/>
      <c r="B49" s="4"/>
      <c r="C49" s="4"/>
      <c r="D49" s="12"/>
      <c r="E49" s="12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>
      <c r="A50" s="4"/>
      <c r="B50" s="4"/>
      <c r="C50" s="4"/>
      <c r="D50" s="12"/>
      <c r="E50" s="12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>
      <c r="A51" s="4"/>
      <c r="B51" s="4"/>
      <c r="C51" s="4"/>
      <c r="D51" s="12"/>
      <c r="E51" s="12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>
      <c r="A52" s="4"/>
      <c r="B52" s="4"/>
      <c r="C52" s="4"/>
      <c r="D52" s="12"/>
      <c r="E52" s="12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s="4"/>
      <c r="B53" s="4"/>
      <c r="C53" s="4"/>
      <c r="D53" s="12"/>
      <c r="E53" s="12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>
      <c r="A54" s="4"/>
      <c r="B54" s="4"/>
      <c r="C54" s="4"/>
      <c r="D54" s="12"/>
      <c r="E54" s="12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>
      <c r="A55" s="4"/>
      <c r="B55" s="4"/>
      <c r="C55" s="4"/>
      <c r="D55" s="12"/>
      <c r="E55" s="12"/>
      <c r="F55" s="1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>
      <c r="A56" s="4"/>
      <c r="B56" s="4"/>
      <c r="C56" s="4"/>
      <c r="D56" s="12"/>
      <c r="E56" s="12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>
      <c r="A57" s="4"/>
      <c r="B57" s="4"/>
      <c r="C57" s="4"/>
      <c r="D57" s="12"/>
      <c r="E57" s="12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>
      <c r="A58" s="4"/>
      <c r="B58" s="4"/>
      <c r="C58" s="4"/>
      <c r="D58" s="12"/>
      <c r="E58" s="12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>
      <c r="A59" s="4"/>
      <c r="B59" s="4"/>
      <c r="C59" s="4"/>
      <c r="D59" s="12"/>
      <c r="E59" s="12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>
      <c r="A60" s="4"/>
      <c r="B60" s="4"/>
      <c r="C60" s="4"/>
      <c r="D60" s="12"/>
      <c r="E60" s="12"/>
      <c r="F60" s="1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>
      <c r="A61" s="4"/>
      <c r="B61" s="4"/>
      <c r="C61" s="4"/>
      <c r="D61" s="12"/>
      <c r="E61" s="12"/>
      <c r="F61" s="1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>
      <c r="A62" s="4"/>
      <c r="B62" s="4"/>
      <c r="C62" s="4"/>
      <c r="D62" s="12"/>
      <c r="E62" s="12"/>
      <c r="F62" s="1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>
      <c r="A63" s="4"/>
      <c r="B63" s="4"/>
      <c r="C63" s="4"/>
      <c r="D63" s="12"/>
      <c r="E63" s="12"/>
      <c r="F63" s="1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>
      <c r="A64" s="4"/>
      <c r="B64" s="4"/>
      <c r="C64" s="4"/>
      <c r="D64" s="12"/>
      <c r="E64" s="12"/>
      <c r="F64" s="1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>
      <c r="A65" s="4"/>
      <c r="B65" s="4"/>
      <c r="C65" s="4"/>
      <c r="D65" s="12"/>
      <c r="E65" s="12"/>
      <c r="F65" s="1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>
      <c r="A66" s="4"/>
      <c r="B66" s="4"/>
      <c r="C66" s="4"/>
      <c r="D66" s="12"/>
      <c r="E66" s="12"/>
      <c r="F66" s="1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>
      <c r="A67" s="4"/>
      <c r="B67" s="4"/>
      <c r="C67" s="4"/>
      <c r="D67" s="12"/>
      <c r="E67" s="12"/>
      <c r="F67" s="1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>
      <c r="A68" s="4"/>
      <c r="B68" s="4"/>
      <c r="C68" s="4"/>
      <c r="D68" s="12"/>
      <c r="E68" s="12"/>
      <c r="F68" s="1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>
      <c r="A69" s="4"/>
      <c r="B69" s="4"/>
      <c r="C69" s="4"/>
      <c r="D69" s="12"/>
      <c r="E69" s="12"/>
      <c r="F69" s="1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>
      <c r="A70" s="4"/>
      <c r="B70" s="4"/>
      <c r="C70" s="4"/>
      <c r="D70" s="12"/>
      <c r="E70" s="12"/>
      <c r="F70" s="1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>
      <c r="A71" s="4"/>
      <c r="B71" s="4"/>
      <c r="C71" s="4"/>
      <c r="D71" s="12"/>
      <c r="E71" s="12"/>
      <c r="F71" s="1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>
      <c r="A72" s="4"/>
      <c r="B72" s="4"/>
      <c r="C72" s="4"/>
      <c r="D72" s="12"/>
      <c r="E72" s="12"/>
      <c r="F72" s="1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>
      <c r="A73" s="4"/>
      <c r="B73" s="4"/>
      <c r="C73" s="4"/>
      <c r="D73" s="12"/>
      <c r="E73" s="12"/>
      <c r="F73" s="1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>
      <c r="A74" s="4"/>
      <c r="B74" s="4"/>
      <c r="C74" s="4"/>
      <c r="D74" s="12"/>
      <c r="E74" s="12"/>
      <c r="F74" s="1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>
      <c r="A75" s="4"/>
      <c r="B75" s="4"/>
      <c r="C75" s="4"/>
      <c r="D75" s="12"/>
      <c r="E75" s="12"/>
      <c r="F75" s="1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>
      <c r="A76" s="4"/>
      <c r="B76" s="4"/>
      <c r="C76" s="4"/>
      <c r="D76" s="12"/>
      <c r="E76" s="12"/>
      <c r="F76" s="1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>
      <c r="A77" s="4"/>
      <c r="B77" s="4"/>
      <c r="C77" s="4"/>
      <c r="D77" s="12"/>
      <c r="E77" s="12"/>
      <c r="F77" s="1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>
      <c r="A78" s="4"/>
      <c r="B78" s="4"/>
      <c r="C78" s="4"/>
      <c r="D78" s="12"/>
      <c r="E78" s="12"/>
      <c r="F78" s="1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>
      <c r="A79" s="4"/>
      <c r="B79" s="4"/>
      <c r="C79" s="4"/>
      <c r="D79" s="12"/>
      <c r="E79" s="12"/>
      <c r="F79" s="1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>
      <c r="A80" s="4"/>
      <c r="B80" s="4"/>
      <c r="C80" s="4"/>
      <c r="D80" s="12"/>
      <c r="E80" s="12"/>
      <c r="F80" s="1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>
      <c r="A81" s="4"/>
      <c r="B81" s="4"/>
      <c r="C81" s="4"/>
      <c r="D81" s="12"/>
      <c r="E81" s="12"/>
      <c r="F81" s="1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>
      <c r="A82" s="4"/>
      <c r="B82" s="4"/>
      <c r="C82" s="4"/>
      <c r="D82" s="12"/>
      <c r="E82" s="12"/>
      <c r="F82" s="1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>
      <c r="A83" s="4"/>
      <c r="B83" s="4"/>
      <c r="C83" s="4"/>
      <c r="D83" s="12"/>
      <c r="E83" s="12"/>
      <c r="F83" s="1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>
      <c r="A84" s="4"/>
      <c r="B84" s="4"/>
      <c r="C84" s="4"/>
      <c r="D84" s="12"/>
      <c r="E84" s="1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>
      <c r="A85" s="4"/>
      <c r="B85" s="4"/>
      <c r="C85" s="4"/>
      <c r="E85" s="1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>
      <c r="A86" s="4"/>
      <c r="B86" s="4"/>
      <c r="C86" s="4"/>
      <c r="E86" s="1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>
      <c r="A87" s="4"/>
      <c r="B87" s="4"/>
      <c r="C87" s="4"/>
      <c r="E87" s="1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4"/>
      <c r="B88" s="4"/>
      <c r="C88" s="4"/>
      <c r="E88" s="1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>
      <c r="A89" s="4"/>
      <c r="B89" s="4"/>
      <c r="C89" s="4"/>
      <c r="E89" s="1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>
      <c r="A90" s="4"/>
      <c r="B90" s="4"/>
      <c r="C90" s="4"/>
      <c r="E90" s="1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>
      <c r="A91" s="4"/>
      <c r="B91" s="4"/>
      <c r="C91" s="4"/>
      <c r="E91" s="1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>
      <c r="A92" s="4"/>
      <c r="B92" s="4"/>
      <c r="C92" s="4"/>
      <c r="E92" s="1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>
      <c r="A93" s="4"/>
      <c r="B93" s="4"/>
      <c r="C93" s="4"/>
      <c r="E93" s="1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>
      <c r="A94" s="4"/>
      <c r="B94" s="4"/>
      <c r="C94" s="4"/>
      <c r="E94" s="1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>
      <c r="A95" s="4"/>
      <c r="B95" s="4"/>
      <c r="C95" s="4"/>
      <c r="E95" s="1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>
      <c r="A96" s="4"/>
      <c r="B96" s="4"/>
      <c r="C96" s="4"/>
      <c r="E96" s="1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>
      <c r="A97" s="4"/>
      <c r="B97" s="4"/>
      <c r="C97" s="4"/>
      <c r="E97" s="1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>
      <c r="A98" s="4"/>
      <c r="B98" s="4"/>
      <c r="C98" s="4"/>
      <c r="E98" s="1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>
      <c r="A99" s="4"/>
      <c r="B99" s="4"/>
      <c r="C99" s="4"/>
      <c r="E99" s="1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>
      <c r="A100" s="4"/>
      <c r="B100" s="4"/>
      <c r="C100" s="4"/>
      <c r="E100" s="1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>
      <c r="A101" s="4"/>
      <c r="B101" s="4"/>
      <c r="C101" s="4"/>
      <c r="E101" s="1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>
      <c r="A102" s="4"/>
      <c r="B102" s="4"/>
      <c r="C102" s="4"/>
      <c r="E102" s="1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>
      <c r="A103" s="4"/>
      <c r="B103" s="4"/>
      <c r="C103" s="4"/>
      <c r="E103" s="1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>
      <c r="A104" s="4"/>
      <c r="B104" s="4"/>
      <c r="C104" s="4"/>
      <c r="E104" s="1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>
      <c r="A105" s="4"/>
      <c r="B105" s="4"/>
      <c r="C105" s="4"/>
      <c r="E105" s="1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>
      <c r="A106" s="4"/>
      <c r="B106" s="4"/>
      <c r="C106" s="4"/>
      <c r="E106" s="1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>
      <c r="A107" s="4"/>
      <c r="B107" s="4"/>
      <c r="C107" s="4"/>
      <c r="E107" s="1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>
      <c r="A108" s="4"/>
      <c r="B108" s="4"/>
      <c r="C108" s="4"/>
      <c r="E108" s="1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>
      <c r="A109" s="4"/>
      <c r="B109" s="4"/>
      <c r="C109" s="4"/>
      <c r="E109" s="1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>
      <c r="A110" s="4"/>
      <c r="B110" s="4"/>
      <c r="C110" s="4"/>
      <c r="E110" s="1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>
      <c r="A111" s="4"/>
      <c r="B111" s="4"/>
      <c r="C111" s="4"/>
      <c r="E111" s="1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>
      <c r="A112" s="4"/>
      <c r="B112" s="4"/>
      <c r="C112" s="4"/>
      <c r="E112" s="1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>
      <c r="A113" s="4"/>
      <c r="B113" s="4"/>
      <c r="C113" s="4"/>
      <c r="E113" s="1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>
      <c r="A114" s="4"/>
      <c r="B114" s="4"/>
      <c r="C114" s="4"/>
      <c r="E114" s="1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>
      <c r="A115" s="4"/>
      <c r="B115" s="4"/>
      <c r="C115" s="4"/>
      <c r="E115" s="1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s="4"/>
      <c r="B116" s="4"/>
      <c r="C116" s="4"/>
      <c r="E116" s="1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>
      <c r="A117" s="4"/>
      <c r="B117" s="4"/>
      <c r="C117" s="4"/>
      <c r="E117" s="1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>
      <c r="A118" s="4"/>
      <c r="B118" s="4"/>
      <c r="C118" s="4"/>
      <c r="E118" s="1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>
      <c r="A119" s="4"/>
      <c r="B119" s="4"/>
      <c r="C119" s="4"/>
      <c r="E119" s="1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>
      <c r="A120" s="4"/>
      <c r="B120" s="4"/>
      <c r="C120" s="4"/>
      <c r="E120" s="1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>
      <c r="A121" s="4"/>
      <c r="B121" s="4"/>
      <c r="C121" s="4"/>
      <c r="E121" s="1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>
      <c r="A122" s="4"/>
      <c r="B122" s="4"/>
      <c r="C122" s="4"/>
      <c r="E122" s="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>
      <c r="A123" s="4"/>
      <c r="B123" s="4"/>
      <c r="C123" s="4"/>
      <c r="E123" s="1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>
      <c r="A124" s="4"/>
      <c r="B124" s="4"/>
      <c r="C124" s="4"/>
      <c r="E124" s="1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>
      <c r="A125" s="4"/>
      <c r="B125" s="4"/>
      <c r="C125" s="4"/>
      <c r="E125" s="1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>
      <c r="A126" s="4"/>
      <c r="B126" s="4"/>
      <c r="C126" s="4"/>
      <c r="E126" s="1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>
      <c r="A127" s="4"/>
      <c r="B127" s="4"/>
      <c r="C127" s="4"/>
      <c r="E127" s="1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>
      <c r="A128" s="4"/>
      <c r="B128" s="4"/>
      <c r="C128" s="4"/>
      <c r="E128" s="1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>
      <c r="A129" s="4"/>
      <c r="B129" s="4"/>
      <c r="C129" s="4"/>
      <c r="E129" s="1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>
      <c r="A130" s="4"/>
      <c r="B130" s="4"/>
      <c r="C130" s="4"/>
      <c r="E130" s="1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>
      <c r="A131" s="4"/>
      <c r="B131" s="4"/>
      <c r="C131" s="4"/>
      <c r="E131" s="1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>
      <c r="A132" s="4"/>
      <c r="B132" s="4"/>
      <c r="C132" s="4"/>
      <c r="E132" s="1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>
      <c r="A133" s="4"/>
      <c r="B133" s="4"/>
      <c r="C133" s="4"/>
      <c r="E133" s="1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>
      <c r="A134" s="4"/>
      <c r="B134" s="4"/>
      <c r="C134" s="4"/>
      <c r="E134" s="1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>
      <c r="A135" s="4"/>
      <c r="B135" s="4"/>
      <c r="C135" s="4"/>
      <c r="E135" s="1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1:19">
      <c r="A136" s="4"/>
      <c r="B136" s="4"/>
      <c r="C136" s="4"/>
      <c r="E136" s="1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>
      <c r="A137" s="4"/>
      <c r="B137" s="4"/>
      <c r="C137" s="4"/>
      <c r="E137" s="1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1:19">
      <c r="A138" s="4"/>
      <c r="B138" s="4"/>
      <c r="C138" s="4"/>
      <c r="E138" s="1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1:19">
      <c r="A139" s="4"/>
      <c r="B139" s="4"/>
      <c r="C139" s="4"/>
      <c r="E139" s="1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19">
      <c r="A140" s="4"/>
      <c r="B140" s="4"/>
      <c r="C140" s="4"/>
      <c r="E140" s="1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>
      <c r="A141" s="4"/>
      <c r="B141" s="4"/>
      <c r="C141" s="4"/>
      <c r="E141" s="1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>
      <c r="A142" s="4"/>
      <c r="B142" s="4"/>
      <c r="C142" s="4"/>
      <c r="E142" s="1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>
      <c r="A143" s="4"/>
      <c r="B143" s="4"/>
      <c r="C143" s="4"/>
      <c r="E143" s="1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>
      <c r="A144" s="4"/>
      <c r="B144" s="4"/>
      <c r="C144" s="4"/>
      <c r="E144" s="1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>
      <c r="A145" s="4"/>
      <c r="B145" s="4"/>
      <c r="C145" s="4"/>
      <c r="E145" s="1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>
      <c r="A146" s="4"/>
      <c r="B146" s="4"/>
      <c r="C146" s="4"/>
      <c r="E146" s="1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>
      <c r="A147" s="4"/>
      <c r="B147" s="4"/>
      <c r="C147" s="4"/>
      <c r="E147" s="1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>
      <c r="A148" s="4"/>
      <c r="B148" s="4"/>
      <c r="C148" s="4"/>
      <c r="E148" s="1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>
      <c r="A149" s="4"/>
      <c r="B149" s="4"/>
      <c r="C149" s="4"/>
      <c r="E149" s="1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>
      <c r="A150" s="4"/>
      <c r="B150" s="4"/>
      <c r="C150" s="4"/>
      <c r="E150" s="1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>
      <c r="A151" s="4"/>
      <c r="B151" s="4"/>
      <c r="C151" s="4"/>
      <c r="E151" s="1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>
      <c r="A152" s="4"/>
      <c r="B152" s="4"/>
      <c r="C152" s="4"/>
      <c r="E152" s="1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>
      <c r="A153" s="4"/>
      <c r="B153" s="4"/>
      <c r="C153" s="4"/>
      <c r="E153" s="1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>
      <c r="A154" s="4"/>
      <c r="B154" s="4"/>
      <c r="C154" s="4"/>
      <c r="E154" s="1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>
      <c r="A155" s="4"/>
      <c r="B155" s="4"/>
      <c r="C155" s="4"/>
      <c r="E155" s="1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>
      <c r="A156" s="4"/>
      <c r="B156" s="4"/>
      <c r="C156" s="4"/>
      <c r="E156" s="1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>
      <c r="A157" s="4"/>
      <c r="B157" s="4"/>
      <c r="C157" s="4"/>
      <c r="E157" s="1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>
      <c r="A158" s="4"/>
      <c r="B158" s="4"/>
      <c r="C158" s="4"/>
      <c r="E158" s="1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>
      <c r="A159" s="4"/>
      <c r="B159" s="4"/>
      <c r="C159" s="4"/>
      <c r="E159" s="1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>
      <c r="A160" s="4"/>
      <c r="B160" s="4"/>
      <c r="C160" s="4"/>
      <c r="E160" s="1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>
      <c r="A161" s="4"/>
      <c r="B161" s="4"/>
      <c r="C161" s="4"/>
      <c r="E161" s="1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>
      <c r="A162" s="4"/>
      <c r="B162" s="4"/>
      <c r="C162" s="4"/>
      <c r="E162" s="1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>
      <c r="A163" s="4"/>
      <c r="B163" s="4"/>
      <c r="C163" s="4"/>
      <c r="E163" s="1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>
      <c r="A164" s="4"/>
      <c r="B164" s="4"/>
      <c r="C164" s="4"/>
      <c r="E164" s="1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>
      <c r="A165" s="4"/>
      <c r="B165" s="4"/>
      <c r="C165" s="4"/>
      <c r="E165" s="1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>
      <c r="A166" s="4"/>
      <c r="B166" s="4"/>
      <c r="C166" s="4"/>
      <c r="E166" s="1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>
      <c r="A167" s="4"/>
      <c r="B167" s="4"/>
      <c r="C167" s="4"/>
      <c r="E167" s="1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>
      <c r="A168" s="4"/>
      <c r="B168" s="4"/>
      <c r="C168" s="4"/>
      <c r="E168" s="1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>
      <c r="A169" s="4"/>
      <c r="B169" s="4"/>
      <c r="C169" s="4"/>
      <c r="E169" s="1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>
      <c r="A170" s="4"/>
      <c r="B170" s="4"/>
      <c r="C170" s="4"/>
      <c r="E170" s="1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>
      <c r="A171" s="4"/>
      <c r="B171" s="4"/>
      <c r="C171" s="4"/>
      <c r="E171" s="1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>
      <c r="A172" s="4"/>
      <c r="B172" s="4"/>
      <c r="C172" s="4"/>
      <c r="E172" s="1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>
      <c r="A173" s="4"/>
      <c r="B173" s="4"/>
      <c r="C173" s="4"/>
      <c r="E173" s="1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>
      <c r="A174" s="4"/>
      <c r="B174" s="4"/>
      <c r="C174" s="4"/>
      <c r="E174" s="1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>
      <c r="A175" s="4"/>
      <c r="B175" s="4"/>
      <c r="C175" s="4"/>
      <c r="E175" s="1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>
      <c r="A176" s="4"/>
      <c r="B176" s="4"/>
      <c r="C176" s="4"/>
      <c r="E176" s="1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>
      <c r="A177" s="4"/>
      <c r="B177" s="4"/>
      <c r="C177" s="4"/>
      <c r="E177" s="1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>
      <c r="A178" s="4"/>
      <c r="B178" s="4"/>
      <c r="C178" s="4"/>
      <c r="E178" s="1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>
      <c r="A179" s="4"/>
      <c r="B179" s="4"/>
      <c r="C179" s="4"/>
      <c r="E179" s="1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</sheetData>
  <autoFilter ref="A3:S6"/>
  <dataValidations count="3">
    <dataValidation allowBlank="1" showInputMessage="1" sqref="F7:F1048576"/>
    <dataValidation type="list" allowBlank="1" showInputMessage="1" showErrorMessage="1" sqref="E7:E179">
      <formula1>"Anchor,Major Candidate,Minor Candidate,Pending Data"</formula1>
    </dataValidation>
    <dataValidation type="list" allowBlank="1" showInputMessage="1" showErrorMessage="1" sqref="D7:D84">
      <formula1>"Anchor,Push Out,No Change,Pending Data"</formula1>
    </dataValidation>
  </dataValidations>
  <pageMargins left="0.75" right="0.75" top="1" bottom="1" header="0.5" footer="0.5"/>
  <pageSetup paperSize="3" orientation="landscape" horizontalDpi="4294967294" verticalDpi="14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80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0" sqref="A10"/>
    </sheetView>
  </sheetViews>
  <sheetFormatPr defaultRowHeight="12.75"/>
  <cols>
    <col min="1" max="1" width="30.28515625" style="13" customWidth="1"/>
    <col min="2" max="2" width="17" style="14" bestFit="1" customWidth="1"/>
    <col min="3" max="3" width="21.28515625" style="14" bestFit="1" customWidth="1"/>
    <col min="4" max="4" width="14.5703125" style="13" bestFit="1" customWidth="1"/>
    <col min="5" max="5" width="15.7109375" style="13" bestFit="1" customWidth="1"/>
    <col min="6" max="6" width="17.85546875" style="13" bestFit="1" customWidth="1"/>
    <col min="7" max="7" width="17.5703125" style="13" bestFit="1" customWidth="1"/>
    <col min="8" max="9" width="15.140625" style="13" bestFit="1" customWidth="1"/>
    <col min="10" max="24" width="8.28515625" style="13" customWidth="1"/>
    <col min="25" max="25" width="33.28515625" style="13" customWidth="1"/>
    <col min="26" max="26" width="9.140625" style="9"/>
    <col min="27" max="29" width="9.28515625" style="9" customWidth="1"/>
    <col min="30" max="16384" width="9.140625" style="9"/>
  </cols>
  <sheetData>
    <row r="1" spans="1:28">
      <c r="A1" s="7"/>
      <c r="B1" s="8"/>
      <c r="C1" s="8"/>
      <c r="D1" s="8"/>
      <c r="E1" s="8"/>
      <c r="F1" s="7"/>
      <c r="G1" s="7"/>
      <c r="H1" s="7"/>
      <c r="I1" s="7"/>
      <c r="J1" s="4"/>
      <c r="K1" s="4"/>
      <c r="L1" s="44" t="s">
        <v>50</v>
      </c>
      <c r="M1" s="44" t="s">
        <v>50</v>
      </c>
      <c r="N1" s="4"/>
      <c r="O1" s="4"/>
      <c r="P1" s="4"/>
      <c r="Q1" s="4"/>
      <c r="R1" s="4"/>
      <c r="S1" s="4"/>
      <c r="T1" s="32" t="s">
        <v>49</v>
      </c>
      <c r="U1" s="4"/>
      <c r="V1" s="4"/>
      <c r="W1" s="4"/>
      <c r="X1" s="4"/>
      <c r="Y1" s="7"/>
    </row>
    <row r="2" spans="1:28">
      <c r="A2" s="10"/>
      <c r="B2" s="11"/>
      <c r="C2" s="15" t="s">
        <v>41</v>
      </c>
      <c r="D2" s="18" t="s">
        <v>42</v>
      </c>
      <c r="E2" s="17" t="s">
        <v>43</v>
      </c>
      <c r="F2" s="40"/>
      <c r="G2" s="19" t="s">
        <v>44</v>
      </c>
      <c r="H2" s="19"/>
      <c r="I2" s="19"/>
      <c r="J2" s="31">
        <v>2012</v>
      </c>
      <c r="K2" s="31">
        <v>2012</v>
      </c>
      <c r="L2" s="31">
        <v>2012</v>
      </c>
      <c r="M2" s="31">
        <v>2012</v>
      </c>
      <c r="N2" s="31">
        <v>2012</v>
      </c>
      <c r="O2" s="31">
        <v>2012</v>
      </c>
      <c r="P2" s="31">
        <v>2012</v>
      </c>
      <c r="Q2" s="31">
        <v>2012</v>
      </c>
      <c r="R2" s="31">
        <v>2012</v>
      </c>
      <c r="S2" s="31">
        <v>2012</v>
      </c>
      <c r="T2" s="31">
        <v>2012</v>
      </c>
      <c r="U2" s="31">
        <v>2012</v>
      </c>
      <c r="V2" s="31">
        <v>2013</v>
      </c>
      <c r="W2" s="31">
        <v>2013</v>
      </c>
      <c r="X2" s="31">
        <v>2013</v>
      </c>
      <c r="Y2" s="10"/>
    </row>
    <row r="3" spans="1:28" s="16" customFormat="1">
      <c r="A3" s="30" t="s">
        <v>3</v>
      </c>
      <c r="B3" s="30" t="s">
        <v>40</v>
      </c>
      <c r="C3" s="25" t="s">
        <v>53</v>
      </c>
      <c r="D3" s="27" t="s">
        <v>29</v>
      </c>
      <c r="E3" s="26" t="s">
        <v>30</v>
      </c>
      <c r="F3" s="26" t="s">
        <v>83</v>
      </c>
      <c r="G3" s="28" t="s">
        <v>31</v>
      </c>
      <c r="H3" s="28" t="s">
        <v>54</v>
      </c>
      <c r="I3" s="28" t="s">
        <v>5</v>
      </c>
      <c r="J3" s="30" t="s">
        <v>71</v>
      </c>
      <c r="K3" s="30" t="s">
        <v>72</v>
      </c>
      <c r="L3" s="30" t="s">
        <v>73</v>
      </c>
      <c r="M3" s="30" t="s">
        <v>63</v>
      </c>
      <c r="N3" s="30" t="s">
        <v>62</v>
      </c>
      <c r="O3" s="30" t="s">
        <v>64</v>
      </c>
      <c r="P3" s="30" t="s">
        <v>65</v>
      </c>
      <c r="Q3" s="30" t="s">
        <v>66</v>
      </c>
      <c r="R3" s="30" t="s">
        <v>67</v>
      </c>
      <c r="S3" s="30" t="s">
        <v>68</v>
      </c>
      <c r="T3" s="30" t="s">
        <v>69</v>
      </c>
      <c r="U3" s="30" t="s">
        <v>70</v>
      </c>
      <c r="V3" s="30" t="s">
        <v>71</v>
      </c>
      <c r="W3" s="30" t="s">
        <v>72</v>
      </c>
      <c r="X3" s="30" t="s">
        <v>73</v>
      </c>
      <c r="Y3" s="30" t="s">
        <v>5</v>
      </c>
    </row>
    <row r="4" spans="1:28">
      <c r="A4" s="49" t="s">
        <v>0</v>
      </c>
      <c r="B4" s="59" t="str">
        <f>VLOOKUP($A4,'Planning Flow'!$A:$J,5,FALSE)</f>
        <v>08 - Oct/12</v>
      </c>
      <c r="C4" s="59" t="str">
        <f>VLOOKUP($A4,'Planning Flow'!$A:$J,6,FALSE)</f>
        <v>Anchor</v>
      </c>
      <c r="D4" s="59" t="str">
        <f>VLOOKUP($A4,'Planning Flow'!$A:$J,7,FALSE)</f>
        <v>On Track</v>
      </c>
      <c r="E4" s="59" t="str">
        <f>VLOOKUP($A4,'Planning Flow'!$A:$J,8,FALSE)</f>
        <v>Major Candidate</v>
      </c>
      <c r="F4" s="59" t="str">
        <f>VLOOKUP($A4,'Planning Flow'!$A:$J,9,FALSE)</f>
        <v>12 - Major - 02/13</v>
      </c>
      <c r="G4" s="12"/>
      <c r="H4" s="12"/>
      <c r="I4" s="12"/>
      <c r="J4" s="60">
        <v>0</v>
      </c>
      <c r="K4" s="60">
        <v>7.4187969523809869</v>
      </c>
      <c r="L4" s="60">
        <v>11.839746892655386</v>
      </c>
      <c r="M4" s="60">
        <v>6.3556614232209903</v>
      </c>
      <c r="N4" s="60">
        <v>6.3201549348231074</v>
      </c>
      <c r="O4" s="60">
        <v>6.2503189686924658</v>
      </c>
      <c r="P4" s="60">
        <v>6.9376206261510234</v>
      </c>
      <c r="Q4" s="60">
        <v>6.9761629629629729</v>
      </c>
      <c r="R4" s="60">
        <v>2.7087808988764039</v>
      </c>
      <c r="S4" s="60">
        <v>2.7395624999999995</v>
      </c>
      <c r="T4" s="60">
        <v>2.7552171428571421</v>
      </c>
      <c r="U4" s="60"/>
      <c r="V4" s="41"/>
      <c r="W4" s="41"/>
      <c r="X4" s="41"/>
      <c r="Y4" s="4" t="s">
        <v>81</v>
      </c>
    </row>
    <row r="5" spans="1:28">
      <c r="A5" s="12" t="s">
        <v>1</v>
      </c>
      <c r="B5" s="59" t="str">
        <f>VLOOKUP(A5,'Planning Flow'!A:J,5,FALSE)</f>
        <v>05 - Jul/12</v>
      </c>
      <c r="C5" s="59" t="str">
        <f>VLOOKUP($A5,'Planning Flow'!$A:$J,6,FALSE)</f>
        <v>Anchor</v>
      </c>
      <c r="D5" s="59" t="str">
        <f>VLOOKUP($A5,'Planning Flow'!$A:$J,7,FALSE)</f>
        <v>On Track</v>
      </c>
      <c r="E5" s="59" t="str">
        <f>VLOOKUP($A5,'Planning Flow'!$A:$J,8,FALSE)</f>
        <v>Minor Candidate</v>
      </c>
      <c r="F5" s="59" t="str">
        <f>VLOOKUP($A5,'Planning Flow'!$A:$J,9,FALSE)</f>
        <v>09 - Major - 11/12</v>
      </c>
      <c r="G5" s="12"/>
      <c r="H5" s="12"/>
      <c r="I5" s="12"/>
      <c r="J5" s="61">
        <v>0</v>
      </c>
      <c r="K5" s="61">
        <v>21.462247619047616</v>
      </c>
      <c r="L5" s="61">
        <v>10.609868173258002</v>
      </c>
      <c r="M5" s="61">
        <v>10.550262172284643</v>
      </c>
      <c r="N5" s="61">
        <v>10.491322160148975</v>
      </c>
      <c r="O5" s="61">
        <v>10.375395948434623</v>
      </c>
      <c r="P5" s="61">
        <v>11.341657458563533</v>
      </c>
      <c r="Q5" s="61">
        <v>11.404666666666671</v>
      </c>
      <c r="R5" s="61">
        <v>0</v>
      </c>
      <c r="S5" s="61">
        <v>0</v>
      </c>
      <c r="T5" s="61">
        <v>0</v>
      </c>
      <c r="U5" s="61"/>
      <c r="V5" s="41"/>
      <c r="W5" s="41"/>
      <c r="X5" s="41"/>
      <c r="Y5" s="4" t="s">
        <v>82</v>
      </c>
      <c r="AA5" s="4"/>
      <c r="AB5" s="4"/>
    </row>
    <row r="6" spans="1:28">
      <c r="A6" s="50" t="s">
        <v>2</v>
      </c>
      <c r="B6" s="59" t="str">
        <f>VLOOKUP(A6,'Planning Flow'!A:J,5,FALSE)</f>
        <v>0 - TBD</v>
      </c>
      <c r="C6" s="59" t="str">
        <f>VLOOKUP($A6,'Planning Flow'!$A:$J,6,FALSE)</f>
        <v>Anchor</v>
      </c>
      <c r="D6" s="59" t="str">
        <f>VLOOKUP($A6,'Planning Flow'!$A:$J,7,FALSE)</f>
        <v>On Track</v>
      </c>
      <c r="E6" s="59" t="str">
        <f>VLOOKUP($A6,'Planning Flow'!$A:$J,8,FALSE)</f>
        <v>Minor Candidate</v>
      </c>
      <c r="F6" s="59" t="str">
        <f>VLOOKUP($A6,'Planning Flow'!$A:$J,9,FALSE)</f>
        <v>09 - Major - 11/12</v>
      </c>
      <c r="G6" s="12"/>
      <c r="H6" s="12"/>
      <c r="I6" s="12"/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  <c r="U6" s="61"/>
      <c r="V6" s="41"/>
      <c r="W6" s="41"/>
      <c r="X6" s="41"/>
      <c r="Y6" s="4" t="s">
        <v>33</v>
      </c>
      <c r="AA6" s="4"/>
      <c r="AB6" s="4"/>
    </row>
    <row r="7" spans="1:28">
      <c r="A7" s="74" t="s">
        <v>125</v>
      </c>
      <c r="B7" s="4"/>
      <c r="C7" s="4"/>
      <c r="D7" s="12"/>
      <c r="E7" s="12"/>
      <c r="F7" s="12"/>
      <c r="G7" s="12"/>
      <c r="H7" s="12"/>
      <c r="I7" s="1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8">
      <c r="A8" s="4"/>
      <c r="B8" s="4"/>
      <c r="C8" s="4"/>
      <c r="D8" s="12"/>
      <c r="E8" s="12"/>
      <c r="F8" s="12"/>
      <c r="G8" s="12"/>
      <c r="H8" s="12"/>
      <c r="I8" s="12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8">
      <c r="A9" s="4"/>
      <c r="B9" s="4"/>
      <c r="C9" s="4"/>
      <c r="D9" s="12"/>
      <c r="E9" s="12"/>
      <c r="F9" s="12"/>
      <c r="G9" s="12"/>
      <c r="H9" s="12"/>
      <c r="I9" s="33" t="s">
        <v>74</v>
      </c>
      <c r="J9" s="43">
        <f t="shared" ref="J9:U9" si="0">SUM(J4:J8)</f>
        <v>0</v>
      </c>
      <c r="K9" s="43">
        <f t="shared" si="0"/>
        <v>28.881044571428603</v>
      </c>
      <c r="L9" s="43">
        <f t="shared" si="0"/>
        <v>22.449615065913388</v>
      </c>
      <c r="M9" s="43">
        <f t="shared" si="0"/>
        <v>16.905923595505634</v>
      </c>
      <c r="N9" s="43">
        <f t="shared" si="0"/>
        <v>16.811477094972084</v>
      </c>
      <c r="O9" s="43">
        <f t="shared" si="0"/>
        <v>16.625714917127087</v>
      </c>
      <c r="P9" s="43">
        <f t="shared" si="0"/>
        <v>18.279278084714555</v>
      </c>
      <c r="Q9" s="43">
        <f t="shared" si="0"/>
        <v>18.380829629629645</v>
      </c>
      <c r="R9" s="43">
        <f t="shared" si="0"/>
        <v>2.7087808988764039</v>
      </c>
      <c r="S9" s="43">
        <f t="shared" si="0"/>
        <v>2.7395624999999995</v>
      </c>
      <c r="T9" s="43">
        <f t="shared" si="0"/>
        <v>2.7552171428571421</v>
      </c>
      <c r="U9" s="43">
        <f t="shared" si="0"/>
        <v>0</v>
      </c>
      <c r="V9" s="43">
        <f t="shared" ref="V9:X9" si="1">SUM(V4:V8)</f>
        <v>0</v>
      </c>
      <c r="W9" s="43">
        <f t="shared" si="1"/>
        <v>0</v>
      </c>
      <c r="X9" s="43">
        <f t="shared" si="1"/>
        <v>0</v>
      </c>
      <c r="Y9" s="4"/>
    </row>
    <row r="10" spans="1:28">
      <c r="A10" s="4"/>
      <c r="B10" s="4"/>
      <c r="C10" s="4"/>
      <c r="D10" s="12"/>
      <c r="E10" s="12"/>
      <c r="F10" s="12"/>
      <c r="G10" s="12"/>
      <c r="H10" s="12"/>
      <c r="I10" s="33" t="s">
        <v>85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"/>
    </row>
    <row r="11" spans="1:28">
      <c r="A11" s="4"/>
      <c r="B11" s="4"/>
      <c r="C11" s="4"/>
      <c r="D11" s="12"/>
      <c r="E11" s="12"/>
      <c r="F11" s="12"/>
      <c r="G11" s="12"/>
      <c r="H11" s="12"/>
      <c r="I11" s="1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8">
      <c r="A12" s="4"/>
      <c r="B12" s="4"/>
      <c r="C12" s="4"/>
      <c r="D12" s="12"/>
      <c r="E12" s="12"/>
      <c r="F12" s="12"/>
      <c r="G12" s="12"/>
      <c r="H12" s="12"/>
      <c r="I12" s="1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8">
      <c r="A13" s="4"/>
      <c r="B13" s="4"/>
      <c r="C13" s="4"/>
      <c r="D13" s="12"/>
      <c r="E13" s="12"/>
      <c r="F13" s="12"/>
      <c r="G13" s="12"/>
      <c r="H13" s="12"/>
      <c r="I13" s="12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8">
      <c r="A14" s="4"/>
      <c r="B14" s="4"/>
      <c r="C14" s="4"/>
      <c r="D14" s="12"/>
      <c r="E14" s="12"/>
      <c r="F14" s="12"/>
      <c r="G14" s="12"/>
      <c r="H14" s="12"/>
      <c r="I14" s="1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8">
      <c r="A15" s="4"/>
      <c r="B15" s="4"/>
      <c r="C15" s="4"/>
      <c r="D15" s="12"/>
      <c r="E15" s="12"/>
      <c r="F15" s="12"/>
      <c r="G15" s="12"/>
      <c r="H15" s="12"/>
      <c r="I15" s="1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8">
      <c r="A16" s="4"/>
      <c r="B16" s="4"/>
      <c r="C16" s="4"/>
      <c r="D16" s="12"/>
      <c r="E16" s="12"/>
      <c r="F16" s="12"/>
      <c r="G16" s="12"/>
      <c r="H16" s="12"/>
      <c r="I16" s="1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>
      <c r="A17" s="4"/>
      <c r="B17" s="4"/>
      <c r="C17" s="4"/>
      <c r="D17" s="12"/>
      <c r="E17" s="12"/>
      <c r="F17" s="12"/>
      <c r="G17" s="12"/>
      <c r="H17" s="12"/>
      <c r="I17" s="1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>
      <c r="A18" s="4"/>
      <c r="B18" s="4"/>
      <c r="C18" s="4"/>
      <c r="D18" s="12"/>
      <c r="E18" s="12"/>
      <c r="F18" s="12"/>
      <c r="G18" s="12"/>
      <c r="H18" s="12"/>
      <c r="I18" s="1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>
      <c r="A19" s="4"/>
      <c r="B19" s="4"/>
      <c r="C19" s="4"/>
      <c r="D19" s="12"/>
      <c r="E19" s="12"/>
      <c r="F19" s="12"/>
      <c r="G19" s="12"/>
      <c r="H19" s="12"/>
      <c r="I19" s="12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>
      <c r="A20" s="4"/>
      <c r="B20" s="4"/>
      <c r="C20" s="4"/>
      <c r="D20" s="12"/>
      <c r="E20" s="12"/>
      <c r="F20" s="12"/>
      <c r="G20" s="12"/>
      <c r="H20" s="12"/>
      <c r="I20" s="1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>
      <c r="A21" s="4"/>
      <c r="B21" s="4"/>
      <c r="C21" s="4"/>
      <c r="D21" s="12"/>
      <c r="E21" s="12"/>
      <c r="F21" s="12"/>
      <c r="G21" s="12"/>
      <c r="H21" s="12"/>
      <c r="I21" s="1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>
      <c r="A22" s="4"/>
      <c r="B22" s="4"/>
      <c r="C22" s="4"/>
      <c r="D22" s="12"/>
      <c r="E22" s="12"/>
      <c r="F22" s="12"/>
      <c r="G22" s="12"/>
      <c r="H22" s="12"/>
      <c r="I22" s="1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>
      <c r="A23" s="4"/>
      <c r="B23" s="4"/>
      <c r="C23" s="4"/>
      <c r="D23" s="12"/>
      <c r="E23" s="12"/>
      <c r="F23" s="12"/>
      <c r="G23" s="12"/>
      <c r="H23" s="12"/>
      <c r="I23" s="1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>
      <c r="A24" s="4"/>
      <c r="B24" s="4"/>
      <c r="C24" s="4"/>
      <c r="D24" s="12"/>
      <c r="E24" s="12"/>
      <c r="F24" s="12"/>
      <c r="G24" s="12"/>
      <c r="H24" s="12"/>
      <c r="I24" s="1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>
      <c r="A25" s="4"/>
      <c r="B25" s="4"/>
      <c r="C25" s="4"/>
      <c r="D25" s="12"/>
      <c r="E25" s="12"/>
      <c r="F25" s="12"/>
      <c r="G25" s="12"/>
      <c r="H25" s="12"/>
      <c r="I25" s="1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>
      <c r="A26" s="4"/>
      <c r="B26" s="4"/>
      <c r="C26" s="4"/>
      <c r="D26" s="12"/>
      <c r="E26" s="12"/>
      <c r="F26" s="12"/>
      <c r="G26" s="12"/>
      <c r="H26" s="12"/>
      <c r="I26" s="1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A27" s="4"/>
      <c r="B27" s="4"/>
      <c r="C27" s="4"/>
      <c r="D27" s="12"/>
      <c r="E27" s="12"/>
      <c r="F27" s="12"/>
      <c r="G27" s="12"/>
      <c r="H27" s="12"/>
      <c r="I27" s="1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>
      <c r="A28" s="4"/>
      <c r="B28" s="4"/>
      <c r="C28" s="4"/>
      <c r="D28" s="12"/>
      <c r="E28" s="12"/>
      <c r="F28" s="12"/>
      <c r="G28" s="12"/>
      <c r="H28" s="12"/>
      <c r="I28" s="1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>
      <c r="A29" s="4"/>
      <c r="B29" s="4"/>
      <c r="C29" s="4"/>
      <c r="D29" s="12"/>
      <c r="E29" s="12"/>
      <c r="F29" s="12"/>
      <c r="G29" s="12"/>
      <c r="H29" s="12"/>
      <c r="I29" s="1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>
      <c r="A30" s="4"/>
      <c r="B30" s="4"/>
      <c r="C30" s="4"/>
      <c r="D30" s="12"/>
      <c r="E30" s="12"/>
      <c r="F30" s="12"/>
      <c r="G30" s="12"/>
      <c r="H30" s="12"/>
      <c r="I30" s="1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>
      <c r="A31" s="4"/>
      <c r="B31" s="4"/>
      <c r="C31" s="4"/>
      <c r="D31" s="12"/>
      <c r="E31" s="12"/>
      <c r="F31" s="12"/>
      <c r="G31" s="12"/>
      <c r="H31" s="12"/>
      <c r="I31" s="1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>
      <c r="A32" s="4"/>
      <c r="B32" s="4"/>
      <c r="C32" s="4"/>
      <c r="D32" s="12"/>
      <c r="E32" s="12"/>
      <c r="F32" s="12"/>
      <c r="G32" s="12"/>
      <c r="H32" s="12"/>
      <c r="I32" s="12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4"/>
      <c r="B33" s="4"/>
      <c r="C33" s="4"/>
      <c r="D33" s="12"/>
      <c r="E33" s="12"/>
      <c r="F33" s="12"/>
      <c r="G33" s="12"/>
      <c r="H33" s="12"/>
      <c r="I33" s="1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4"/>
      <c r="B34" s="4"/>
      <c r="C34" s="4"/>
      <c r="D34" s="12"/>
      <c r="E34" s="12"/>
      <c r="F34" s="12"/>
      <c r="G34" s="12"/>
      <c r="H34" s="12"/>
      <c r="I34" s="12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4"/>
      <c r="B35" s="4"/>
      <c r="C35" s="4"/>
      <c r="D35" s="12"/>
      <c r="E35" s="12"/>
      <c r="F35" s="12"/>
      <c r="G35" s="12"/>
      <c r="H35" s="12"/>
      <c r="I35" s="12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4"/>
      <c r="B36" s="4"/>
      <c r="C36" s="4"/>
      <c r="D36" s="12"/>
      <c r="E36" s="12"/>
      <c r="F36" s="12"/>
      <c r="G36" s="12"/>
      <c r="H36" s="12"/>
      <c r="I36" s="12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4"/>
      <c r="B37" s="4"/>
      <c r="C37" s="4"/>
      <c r="D37" s="12"/>
      <c r="E37" s="12"/>
      <c r="F37" s="12"/>
      <c r="G37" s="12"/>
      <c r="H37" s="12"/>
      <c r="I37" s="1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4"/>
      <c r="B38" s="4"/>
      <c r="C38" s="4"/>
      <c r="D38" s="12"/>
      <c r="E38" s="12"/>
      <c r="F38" s="12"/>
      <c r="G38" s="12"/>
      <c r="H38" s="12"/>
      <c r="I38" s="1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4"/>
      <c r="B39" s="4"/>
      <c r="C39" s="4"/>
      <c r="D39" s="12"/>
      <c r="E39" s="12"/>
      <c r="F39" s="12"/>
      <c r="G39" s="12"/>
      <c r="H39" s="12"/>
      <c r="I39" s="1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>
      <c r="A40" s="4"/>
      <c r="B40" s="4"/>
      <c r="C40" s="4"/>
      <c r="D40" s="12"/>
      <c r="E40" s="12"/>
      <c r="F40" s="12"/>
      <c r="G40" s="12"/>
      <c r="H40" s="12"/>
      <c r="I40" s="1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>
      <c r="A41" s="4"/>
      <c r="B41" s="4"/>
      <c r="C41" s="4"/>
      <c r="D41" s="12"/>
      <c r="E41" s="12"/>
      <c r="F41" s="12"/>
      <c r="G41" s="12"/>
      <c r="H41" s="12"/>
      <c r="I41" s="12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4"/>
      <c r="B42" s="4"/>
      <c r="C42" s="4"/>
      <c r="D42" s="12"/>
      <c r="E42" s="12"/>
      <c r="F42" s="12"/>
      <c r="G42" s="12"/>
      <c r="H42" s="12"/>
      <c r="I42" s="1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4"/>
      <c r="B43" s="4"/>
      <c r="C43" s="4"/>
      <c r="D43" s="12"/>
      <c r="E43" s="12"/>
      <c r="F43" s="12"/>
      <c r="G43" s="12"/>
      <c r="H43" s="12"/>
      <c r="I43" s="12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>
      <c r="A44" s="4"/>
      <c r="B44" s="4"/>
      <c r="C44" s="4"/>
      <c r="D44" s="12"/>
      <c r="E44" s="12"/>
      <c r="F44" s="12"/>
      <c r="G44" s="12"/>
      <c r="H44" s="12"/>
      <c r="I44" s="12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4"/>
      <c r="B45" s="4"/>
      <c r="C45" s="4"/>
      <c r="D45" s="12"/>
      <c r="E45" s="12"/>
      <c r="F45" s="12"/>
      <c r="G45" s="12"/>
      <c r="H45" s="12"/>
      <c r="I45" s="12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4"/>
      <c r="B46" s="4"/>
      <c r="C46" s="4"/>
      <c r="D46" s="12"/>
      <c r="E46" s="12"/>
      <c r="F46" s="12"/>
      <c r="G46" s="12"/>
      <c r="H46" s="12"/>
      <c r="I46" s="12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>
      <c r="A47" s="4"/>
      <c r="B47" s="4"/>
      <c r="C47" s="4"/>
      <c r="D47" s="12"/>
      <c r="E47" s="12"/>
      <c r="F47" s="12"/>
      <c r="G47" s="12"/>
      <c r="H47" s="12"/>
      <c r="I47" s="1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>
      <c r="A48" s="4"/>
      <c r="B48" s="4"/>
      <c r="C48" s="4"/>
      <c r="D48" s="12"/>
      <c r="E48" s="12"/>
      <c r="F48" s="12"/>
      <c r="G48" s="12"/>
      <c r="H48" s="12"/>
      <c r="I48" s="1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>
      <c r="A49" s="4"/>
      <c r="B49" s="4"/>
      <c r="C49" s="4"/>
      <c r="D49" s="12"/>
      <c r="E49" s="12"/>
      <c r="F49" s="12"/>
      <c r="G49" s="12"/>
      <c r="H49" s="12"/>
      <c r="I49" s="12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>
      <c r="A50" s="4"/>
      <c r="B50" s="4"/>
      <c r="C50" s="4"/>
      <c r="D50" s="12"/>
      <c r="E50" s="12"/>
      <c r="F50" s="12"/>
      <c r="G50" s="12"/>
      <c r="H50" s="12"/>
      <c r="I50" s="12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>
      <c r="A51" s="4"/>
      <c r="B51" s="4"/>
      <c r="C51" s="4"/>
      <c r="D51" s="12"/>
      <c r="E51" s="12"/>
      <c r="F51" s="12"/>
      <c r="G51" s="12"/>
      <c r="H51" s="12"/>
      <c r="I51" s="12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>
      <c r="A52" s="4"/>
      <c r="B52" s="4"/>
      <c r="C52" s="4"/>
      <c r="D52" s="12"/>
      <c r="E52" s="12"/>
      <c r="F52" s="12"/>
      <c r="G52" s="12"/>
      <c r="H52" s="12"/>
      <c r="I52" s="1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>
      <c r="A53" s="4"/>
      <c r="B53" s="4"/>
      <c r="C53" s="4"/>
      <c r="D53" s="12"/>
      <c r="E53" s="12"/>
      <c r="F53" s="12"/>
      <c r="G53" s="12"/>
      <c r="H53" s="12"/>
      <c r="I53" s="1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>
      <c r="A54" s="4"/>
      <c r="B54" s="4"/>
      <c r="C54" s="4"/>
      <c r="D54" s="12"/>
      <c r="E54" s="12"/>
      <c r="F54" s="12"/>
      <c r="G54" s="12"/>
      <c r="H54" s="12"/>
      <c r="I54" s="1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>
      <c r="A55" s="4"/>
      <c r="B55" s="4"/>
      <c r="C55" s="4"/>
      <c r="D55" s="12"/>
      <c r="E55" s="12"/>
      <c r="F55" s="12"/>
      <c r="G55" s="12"/>
      <c r="H55" s="12"/>
      <c r="I55" s="1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>
      <c r="A56" s="4"/>
      <c r="B56" s="4"/>
      <c r="C56" s="4"/>
      <c r="D56" s="12"/>
      <c r="E56" s="12"/>
      <c r="F56" s="12"/>
      <c r="G56" s="12"/>
      <c r="H56" s="12"/>
      <c r="I56" s="12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>
      <c r="A57" s="4"/>
      <c r="B57" s="4"/>
      <c r="C57" s="4"/>
      <c r="D57" s="12"/>
      <c r="E57" s="12"/>
      <c r="F57" s="12"/>
      <c r="G57" s="12"/>
      <c r="H57" s="12"/>
      <c r="I57" s="12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>
      <c r="A58" s="4"/>
      <c r="B58" s="4"/>
      <c r="C58" s="4"/>
      <c r="D58" s="12"/>
      <c r="E58" s="12"/>
      <c r="F58" s="12"/>
      <c r="G58" s="12"/>
      <c r="H58" s="12"/>
      <c r="I58" s="1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>
      <c r="A59" s="4"/>
      <c r="B59" s="4"/>
      <c r="C59" s="4"/>
      <c r="D59" s="12"/>
      <c r="E59" s="12"/>
      <c r="F59" s="12"/>
      <c r="G59" s="12"/>
      <c r="H59" s="12"/>
      <c r="I59" s="12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>
      <c r="A60" s="4"/>
      <c r="B60" s="4"/>
      <c r="C60" s="4"/>
      <c r="D60" s="12"/>
      <c r="E60" s="12"/>
      <c r="F60" s="12"/>
      <c r="G60" s="12"/>
      <c r="H60" s="12"/>
      <c r="I60" s="1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>
      <c r="A61" s="4"/>
      <c r="B61" s="4"/>
      <c r="C61" s="4"/>
      <c r="D61" s="12"/>
      <c r="E61" s="12"/>
      <c r="F61" s="12"/>
      <c r="G61" s="12"/>
      <c r="H61" s="12"/>
      <c r="I61" s="12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>
      <c r="A62" s="4"/>
      <c r="B62" s="4"/>
      <c r="C62" s="4"/>
      <c r="D62" s="12"/>
      <c r="E62" s="12"/>
      <c r="F62" s="12"/>
      <c r="G62" s="12"/>
      <c r="H62" s="12"/>
      <c r="I62" s="12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4"/>
      <c r="B63" s="4"/>
      <c r="C63" s="4"/>
      <c r="D63" s="12"/>
      <c r="E63" s="12"/>
      <c r="F63" s="12"/>
      <c r="G63" s="12"/>
      <c r="H63" s="12"/>
      <c r="I63" s="1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>
      <c r="A64" s="4"/>
      <c r="B64" s="4"/>
      <c r="C64" s="4"/>
      <c r="D64" s="12"/>
      <c r="E64" s="12"/>
      <c r="F64" s="12"/>
      <c r="G64" s="12"/>
      <c r="H64" s="12"/>
      <c r="I64" s="1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>
      <c r="A65" s="4"/>
      <c r="B65" s="4"/>
      <c r="C65" s="4"/>
      <c r="D65" s="12"/>
      <c r="E65" s="12"/>
      <c r="F65" s="12"/>
      <c r="G65" s="12"/>
      <c r="H65" s="12"/>
      <c r="I65" s="1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>
      <c r="A66" s="4"/>
      <c r="B66" s="4"/>
      <c r="C66" s="4"/>
      <c r="D66" s="12"/>
      <c r="E66" s="12"/>
      <c r="F66" s="12"/>
      <c r="G66" s="12"/>
      <c r="H66" s="12"/>
      <c r="I66" s="1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>
      <c r="A67" s="4"/>
      <c r="B67" s="4"/>
      <c r="C67" s="4"/>
      <c r="D67" s="12"/>
      <c r="E67" s="12"/>
      <c r="F67" s="12"/>
      <c r="G67" s="12"/>
      <c r="H67" s="12"/>
      <c r="I67" s="1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>
      <c r="A68" s="4"/>
      <c r="B68" s="4"/>
      <c r="C68" s="4"/>
      <c r="D68" s="12"/>
      <c r="E68" s="12"/>
      <c r="F68" s="12"/>
      <c r="G68" s="12"/>
      <c r="H68" s="12"/>
      <c r="I68" s="12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>
      <c r="A69" s="4"/>
      <c r="B69" s="4"/>
      <c r="C69" s="4"/>
      <c r="D69" s="12"/>
      <c r="E69" s="12"/>
      <c r="F69" s="12"/>
      <c r="G69" s="12"/>
      <c r="H69" s="12"/>
      <c r="I69" s="1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>
      <c r="A70" s="4"/>
      <c r="B70" s="4"/>
      <c r="C70" s="4"/>
      <c r="D70" s="12"/>
      <c r="E70" s="12"/>
      <c r="F70" s="12"/>
      <c r="G70" s="12"/>
      <c r="H70" s="12"/>
      <c r="I70" s="1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>
      <c r="A71" s="4"/>
      <c r="B71" s="4"/>
      <c r="C71" s="4"/>
      <c r="D71" s="12"/>
      <c r="E71" s="12"/>
      <c r="F71" s="12"/>
      <c r="G71" s="12"/>
      <c r="H71" s="12"/>
      <c r="I71" s="1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>
      <c r="A72" s="4"/>
      <c r="B72" s="4"/>
      <c r="C72" s="4"/>
      <c r="D72" s="12"/>
      <c r="E72" s="12"/>
      <c r="F72" s="12"/>
      <c r="G72" s="12"/>
      <c r="H72" s="12"/>
      <c r="I72" s="1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>
      <c r="A73" s="4"/>
      <c r="B73" s="4"/>
      <c r="C73" s="4"/>
      <c r="D73" s="12"/>
      <c r="E73" s="12"/>
      <c r="F73" s="12"/>
      <c r="G73" s="12"/>
      <c r="H73" s="12"/>
      <c r="I73" s="1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>
      <c r="A74" s="4"/>
      <c r="B74" s="4"/>
      <c r="C74" s="4"/>
      <c r="D74" s="12"/>
      <c r="E74" s="12"/>
      <c r="F74" s="12"/>
      <c r="G74" s="12"/>
      <c r="H74" s="12"/>
      <c r="I74" s="1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>
      <c r="A75" s="4"/>
      <c r="B75" s="4"/>
      <c r="C75" s="4"/>
      <c r="D75" s="12"/>
      <c r="E75" s="12"/>
      <c r="F75" s="12"/>
      <c r="G75" s="12"/>
      <c r="H75" s="12"/>
      <c r="I75" s="12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>
      <c r="A76" s="4"/>
      <c r="B76" s="4"/>
      <c r="C76" s="4"/>
      <c r="D76" s="12"/>
      <c r="E76" s="12"/>
      <c r="F76" s="12"/>
      <c r="G76" s="12"/>
      <c r="H76" s="12"/>
      <c r="I76" s="12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>
      <c r="A77" s="4"/>
      <c r="B77" s="4"/>
      <c r="C77" s="4"/>
      <c r="D77" s="12"/>
      <c r="E77" s="12"/>
      <c r="F77" s="12"/>
      <c r="G77" s="12"/>
      <c r="H77" s="12"/>
      <c r="I77" s="1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>
      <c r="A78" s="4"/>
      <c r="B78" s="4"/>
      <c r="C78" s="4"/>
      <c r="D78" s="12"/>
      <c r="E78" s="12"/>
      <c r="F78" s="12"/>
      <c r="G78" s="12"/>
      <c r="H78" s="12"/>
      <c r="I78" s="12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>
      <c r="A79" s="4"/>
      <c r="B79" s="4"/>
      <c r="C79" s="4"/>
      <c r="D79" s="12"/>
      <c r="E79" s="12"/>
      <c r="F79" s="12"/>
      <c r="G79" s="12"/>
      <c r="H79" s="12"/>
      <c r="I79" s="1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>
      <c r="A80" s="4"/>
      <c r="B80" s="4"/>
      <c r="C80" s="4"/>
      <c r="D80" s="12"/>
      <c r="E80" s="12"/>
      <c r="F80" s="12"/>
      <c r="G80" s="12"/>
      <c r="H80" s="12"/>
      <c r="I80" s="1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>
      <c r="A81" s="4"/>
      <c r="B81" s="4"/>
      <c r="C81" s="4"/>
      <c r="D81" s="12"/>
      <c r="E81" s="12"/>
      <c r="F81" s="12"/>
      <c r="G81" s="12"/>
      <c r="H81" s="12"/>
      <c r="I81" s="12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>
      <c r="A82" s="4"/>
      <c r="B82" s="4"/>
      <c r="C82" s="4"/>
      <c r="D82" s="12"/>
      <c r="E82" s="12"/>
      <c r="F82" s="12"/>
      <c r="G82" s="12"/>
      <c r="H82" s="12"/>
      <c r="I82" s="1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>
      <c r="A83" s="4"/>
      <c r="B83" s="4"/>
      <c r="C83" s="4"/>
      <c r="D83" s="12"/>
      <c r="E83" s="12"/>
      <c r="F83" s="12"/>
      <c r="G83" s="12"/>
      <c r="H83" s="12"/>
      <c r="I83" s="12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>
      <c r="A84" s="4"/>
      <c r="B84" s="4"/>
      <c r="C84" s="4"/>
      <c r="D84" s="12"/>
      <c r="E84" s="12"/>
      <c r="F84" s="12"/>
      <c r="G84" s="12"/>
      <c r="H84" s="12"/>
      <c r="I84" s="1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>
      <c r="A85" s="4"/>
      <c r="B85" s="4"/>
      <c r="C85" s="4"/>
      <c r="D85" s="12"/>
      <c r="E85" s="12"/>
      <c r="G85" s="12"/>
      <c r="H85" s="12"/>
      <c r="I85" s="12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>
      <c r="A86" s="4"/>
      <c r="B86" s="4"/>
      <c r="C86" s="4"/>
      <c r="D86" s="12"/>
      <c r="E86" s="12"/>
      <c r="G86" s="12"/>
      <c r="H86" s="12"/>
      <c r="I86" s="1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>
      <c r="A87" s="4"/>
      <c r="B87" s="4"/>
      <c r="C87" s="4"/>
      <c r="D87" s="12"/>
      <c r="E87" s="12"/>
      <c r="G87" s="12"/>
      <c r="H87" s="12"/>
      <c r="I87" s="1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>
      <c r="A88" s="4"/>
      <c r="B88" s="4"/>
      <c r="C88" s="4"/>
      <c r="D88" s="12"/>
      <c r="E88" s="12"/>
      <c r="G88" s="12"/>
      <c r="H88" s="12"/>
      <c r="I88" s="1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>
      <c r="A89" s="4"/>
      <c r="B89" s="4"/>
      <c r="C89" s="4"/>
      <c r="D89" s="12"/>
      <c r="E89" s="12"/>
      <c r="G89" s="12"/>
      <c r="H89" s="12"/>
      <c r="I89" s="12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>
      <c r="A90" s="4"/>
      <c r="B90" s="4"/>
      <c r="C90" s="4"/>
      <c r="D90" s="12"/>
      <c r="E90" s="12"/>
      <c r="G90" s="12"/>
      <c r="H90" s="12"/>
      <c r="I90" s="12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>
      <c r="A91" s="4"/>
      <c r="B91" s="4"/>
      <c r="C91" s="4"/>
      <c r="D91" s="12"/>
      <c r="E91" s="12"/>
      <c r="G91" s="12"/>
      <c r="H91" s="12"/>
      <c r="I91" s="12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>
      <c r="A92" s="4"/>
      <c r="B92" s="4"/>
      <c r="C92" s="4"/>
      <c r="D92" s="12"/>
      <c r="E92" s="12"/>
      <c r="G92" s="12"/>
      <c r="H92" s="12"/>
      <c r="I92" s="12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>
      <c r="A93" s="4"/>
      <c r="B93" s="4"/>
      <c r="C93" s="4"/>
      <c r="D93" s="12"/>
      <c r="E93" s="12"/>
      <c r="G93" s="12"/>
      <c r="H93" s="12"/>
      <c r="I93" s="12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>
      <c r="A94" s="4"/>
      <c r="B94" s="4"/>
      <c r="C94" s="4"/>
      <c r="D94" s="12"/>
      <c r="E94" s="12"/>
      <c r="G94" s="12"/>
      <c r="H94" s="12"/>
      <c r="I94" s="12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>
      <c r="A95" s="4"/>
      <c r="B95" s="4"/>
      <c r="C95" s="4"/>
      <c r="D95" s="12"/>
      <c r="E95" s="12"/>
      <c r="G95" s="12"/>
      <c r="H95" s="12"/>
      <c r="I95" s="1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>
      <c r="A96" s="4"/>
      <c r="B96" s="4"/>
      <c r="C96" s="4"/>
      <c r="D96" s="12"/>
      <c r="E96" s="12"/>
      <c r="G96" s="12"/>
      <c r="H96" s="12"/>
      <c r="I96" s="1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>
      <c r="A97" s="4"/>
      <c r="B97" s="4"/>
      <c r="C97" s="4"/>
      <c r="D97" s="12"/>
      <c r="E97" s="12"/>
      <c r="G97" s="12"/>
      <c r="H97" s="12"/>
      <c r="I97" s="1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>
      <c r="A98" s="4"/>
      <c r="B98" s="4"/>
      <c r="C98" s="4"/>
      <c r="D98" s="12"/>
      <c r="E98" s="12"/>
      <c r="G98" s="12"/>
      <c r="H98" s="12"/>
      <c r="I98" s="1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>
      <c r="A99" s="4"/>
      <c r="B99" s="4"/>
      <c r="C99" s="4"/>
      <c r="D99" s="12"/>
      <c r="E99" s="12"/>
      <c r="G99" s="12"/>
      <c r="H99" s="12"/>
      <c r="I99" s="12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>
      <c r="A100" s="4"/>
      <c r="B100" s="4"/>
      <c r="C100" s="4"/>
      <c r="D100" s="12"/>
      <c r="E100" s="12"/>
      <c r="G100" s="12"/>
      <c r="H100" s="12"/>
      <c r="I100" s="1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>
      <c r="A101" s="4"/>
      <c r="B101" s="4"/>
      <c r="C101" s="4"/>
      <c r="D101" s="12"/>
      <c r="E101" s="12"/>
      <c r="G101" s="12"/>
      <c r="H101" s="12"/>
      <c r="I101" s="12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>
      <c r="A102" s="4"/>
      <c r="B102" s="4"/>
      <c r="C102" s="4"/>
      <c r="D102" s="12"/>
      <c r="E102" s="12"/>
      <c r="G102" s="12"/>
      <c r="H102" s="12"/>
      <c r="I102" s="1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>
      <c r="A103" s="4"/>
      <c r="B103" s="4"/>
      <c r="C103" s="4"/>
      <c r="D103" s="12"/>
      <c r="E103" s="12"/>
      <c r="G103" s="12"/>
      <c r="H103" s="12"/>
      <c r="I103" s="12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>
      <c r="A104" s="4"/>
      <c r="B104" s="4"/>
      <c r="C104" s="4"/>
      <c r="D104" s="12"/>
      <c r="E104" s="12"/>
      <c r="G104" s="12"/>
      <c r="H104" s="12"/>
      <c r="I104" s="12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>
      <c r="A105" s="4"/>
      <c r="B105" s="4"/>
      <c r="C105" s="4"/>
      <c r="D105" s="12"/>
      <c r="E105" s="12"/>
      <c r="G105" s="12"/>
      <c r="H105" s="12"/>
      <c r="I105" s="1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>
      <c r="A106" s="4"/>
      <c r="B106" s="4"/>
      <c r="C106" s="4"/>
      <c r="D106" s="12"/>
      <c r="E106" s="12"/>
      <c r="G106" s="12"/>
      <c r="H106" s="12"/>
      <c r="I106" s="12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>
      <c r="A107" s="4"/>
      <c r="B107" s="4"/>
      <c r="C107" s="4"/>
      <c r="D107" s="12"/>
      <c r="E107" s="12"/>
      <c r="G107" s="12"/>
      <c r="H107" s="12"/>
      <c r="I107" s="1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>
      <c r="A108" s="4"/>
      <c r="B108" s="4"/>
      <c r="C108" s="4"/>
      <c r="D108" s="12"/>
      <c r="E108" s="12"/>
      <c r="G108" s="12"/>
      <c r="H108" s="12"/>
      <c r="I108" s="1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>
      <c r="A109" s="4"/>
      <c r="B109" s="4"/>
      <c r="C109" s="4"/>
      <c r="D109" s="12"/>
      <c r="E109" s="12"/>
      <c r="G109" s="12"/>
      <c r="H109" s="12"/>
      <c r="I109" s="1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>
      <c r="A110" s="4"/>
      <c r="B110" s="4"/>
      <c r="C110" s="4"/>
      <c r="D110" s="12"/>
      <c r="E110" s="12"/>
      <c r="G110" s="12"/>
      <c r="H110" s="12"/>
      <c r="I110" s="1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>
      <c r="A111" s="4"/>
      <c r="B111" s="4"/>
      <c r="C111" s="4"/>
      <c r="D111" s="12"/>
      <c r="E111" s="12"/>
      <c r="G111" s="12"/>
      <c r="H111" s="12"/>
      <c r="I111" s="1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>
      <c r="A112" s="4"/>
      <c r="B112" s="4"/>
      <c r="C112" s="4"/>
      <c r="D112" s="12"/>
      <c r="E112" s="12"/>
      <c r="G112" s="12"/>
      <c r="H112" s="12"/>
      <c r="I112" s="1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>
      <c r="A113" s="4"/>
      <c r="B113" s="4"/>
      <c r="C113" s="4"/>
      <c r="D113" s="12"/>
      <c r="E113" s="12"/>
      <c r="G113" s="12"/>
      <c r="H113" s="12"/>
      <c r="I113" s="1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>
      <c r="A114" s="4"/>
      <c r="B114" s="4"/>
      <c r="C114" s="4"/>
      <c r="D114" s="12"/>
      <c r="E114" s="12"/>
      <c r="G114" s="12"/>
      <c r="H114" s="12"/>
      <c r="I114" s="1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>
      <c r="A115" s="4"/>
      <c r="B115" s="4"/>
      <c r="C115" s="4"/>
      <c r="D115" s="12"/>
      <c r="E115" s="12"/>
      <c r="G115" s="12"/>
      <c r="H115" s="12"/>
      <c r="I115" s="1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>
      <c r="A116" s="4"/>
      <c r="B116" s="4"/>
      <c r="C116" s="4"/>
      <c r="D116" s="12"/>
      <c r="E116" s="12"/>
      <c r="G116" s="12"/>
      <c r="H116" s="12"/>
      <c r="I116" s="1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>
      <c r="A117" s="4"/>
      <c r="B117" s="4"/>
      <c r="C117" s="4"/>
      <c r="D117" s="12"/>
      <c r="E117" s="12"/>
      <c r="G117" s="12"/>
      <c r="H117" s="12"/>
      <c r="I117" s="1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>
      <c r="A118" s="4"/>
      <c r="B118" s="4"/>
      <c r="C118" s="4"/>
      <c r="D118" s="12"/>
      <c r="E118" s="12"/>
      <c r="G118" s="12"/>
      <c r="H118" s="12"/>
      <c r="I118" s="1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>
      <c r="A119" s="4"/>
      <c r="B119" s="4"/>
      <c r="C119" s="4"/>
      <c r="D119" s="12"/>
      <c r="E119" s="12"/>
      <c r="G119" s="12"/>
      <c r="H119" s="12"/>
      <c r="I119" s="1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>
      <c r="A120" s="4"/>
      <c r="B120" s="4"/>
      <c r="C120" s="4"/>
      <c r="D120" s="12"/>
      <c r="E120" s="12"/>
      <c r="G120" s="12"/>
      <c r="H120" s="12"/>
      <c r="I120" s="1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>
      <c r="A121" s="4"/>
      <c r="B121" s="4"/>
      <c r="C121" s="4"/>
      <c r="D121" s="12"/>
      <c r="E121" s="12"/>
      <c r="G121" s="12"/>
      <c r="H121" s="12"/>
      <c r="I121" s="1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>
      <c r="A122" s="4"/>
      <c r="B122" s="4"/>
      <c r="C122" s="4"/>
      <c r="D122" s="12"/>
      <c r="E122" s="12"/>
      <c r="G122" s="12"/>
      <c r="H122" s="12"/>
      <c r="I122" s="1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>
      <c r="A123" s="4"/>
      <c r="B123" s="4"/>
      <c r="C123" s="4"/>
      <c r="D123" s="12"/>
      <c r="E123" s="12"/>
      <c r="G123" s="12"/>
      <c r="H123" s="12"/>
      <c r="I123" s="1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>
      <c r="A124" s="4"/>
      <c r="B124" s="4"/>
      <c r="C124" s="4"/>
      <c r="D124" s="12"/>
      <c r="E124" s="12"/>
      <c r="G124" s="12"/>
      <c r="H124" s="12"/>
      <c r="I124" s="1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>
      <c r="A125" s="4"/>
      <c r="B125" s="4"/>
      <c r="C125" s="4"/>
      <c r="D125" s="12"/>
      <c r="E125" s="12"/>
      <c r="G125" s="12"/>
      <c r="H125" s="12"/>
      <c r="I125" s="1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>
      <c r="A126" s="4"/>
      <c r="B126" s="4"/>
      <c r="C126" s="4"/>
      <c r="D126" s="12"/>
      <c r="E126" s="12"/>
      <c r="G126" s="12"/>
      <c r="H126" s="12"/>
      <c r="I126" s="1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>
      <c r="A127" s="4"/>
      <c r="B127" s="4"/>
      <c r="C127" s="4"/>
      <c r="D127" s="12"/>
      <c r="E127" s="12"/>
      <c r="G127" s="12"/>
      <c r="H127" s="12"/>
      <c r="I127" s="1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>
      <c r="A128" s="4"/>
      <c r="B128" s="4"/>
      <c r="C128" s="4"/>
      <c r="D128" s="12"/>
      <c r="E128" s="12"/>
      <c r="G128" s="12"/>
      <c r="H128" s="12"/>
      <c r="I128" s="1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>
      <c r="A129" s="4"/>
      <c r="B129" s="4"/>
      <c r="C129" s="4"/>
      <c r="D129" s="12"/>
      <c r="E129" s="12"/>
      <c r="G129" s="12"/>
      <c r="H129" s="12"/>
      <c r="I129" s="1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>
      <c r="A130" s="4"/>
      <c r="B130" s="4"/>
      <c r="C130" s="4"/>
      <c r="D130" s="12"/>
      <c r="E130" s="12"/>
      <c r="G130" s="12"/>
      <c r="H130" s="12"/>
      <c r="I130" s="1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>
      <c r="A131" s="4"/>
      <c r="B131" s="4"/>
      <c r="C131" s="4"/>
      <c r="D131" s="12"/>
      <c r="E131" s="12"/>
      <c r="G131" s="12"/>
      <c r="H131" s="12"/>
      <c r="I131" s="1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>
      <c r="A132" s="4"/>
      <c r="B132" s="4"/>
      <c r="C132" s="4"/>
      <c r="D132" s="12"/>
      <c r="E132" s="12"/>
      <c r="G132" s="12"/>
      <c r="H132" s="12"/>
      <c r="I132" s="1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>
      <c r="A133" s="4"/>
      <c r="B133" s="4"/>
      <c r="C133" s="4"/>
      <c r="D133" s="12"/>
      <c r="E133" s="12"/>
      <c r="G133" s="12"/>
      <c r="H133" s="12"/>
      <c r="I133" s="1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>
      <c r="A134" s="4"/>
      <c r="B134" s="4"/>
      <c r="C134" s="4"/>
      <c r="D134" s="12"/>
      <c r="E134" s="12"/>
      <c r="G134" s="12"/>
      <c r="H134" s="12"/>
      <c r="I134" s="1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>
      <c r="A135" s="4"/>
      <c r="B135" s="4"/>
      <c r="C135" s="4"/>
      <c r="D135" s="12"/>
      <c r="E135" s="12"/>
      <c r="G135" s="12"/>
      <c r="H135" s="12"/>
      <c r="I135" s="1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>
      <c r="A136" s="4"/>
      <c r="B136" s="4"/>
      <c r="C136" s="4"/>
      <c r="D136" s="12"/>
      <c r="E136" s="12"/>
      <c r="G136" s="12"/>
      <c r="H136" s="12"/>
      <c r="I136" s="1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>
      <c r="A137" s="4"/>
      <c r="B137" s="4"/>
      <c r="C137" s="4"/>
      <c r="D137" s="12"/>
      <c r="E137" s="12"/>
      <c r="G137" s="12"/>
      <c r="H137" s="12"/>
      <c r="I137" s="1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>
      <c r="A138" s="4"/>
      <c r="B138" s="4"/>
      <c r="C138" s="4"/>
      <c r="D138" s="12"/>
      <c r="E138" s="12"/>
      <c r="G138" s="12"/>
      <c r="H138" s="12"/>
      <c r="I138" s="1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>
      <c r="A139" s="4"/>
      <c r="B139" s="4"/>
      <c r="C139" s="4"/>
      <c r="D139" s="12"/>
      <c r="E139" s="12"/>
      <c r="G139" s="12"/>
      <c r="H139" s="12"/>
      <c r="I139" s="1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>
      <c r="A140" s="4"/>
      <c r="B140" s="4"/>
      <c r="C140" s="4"/>
      <c r="D140" s="12"/>
      <c r="E140" s="12"/>
      <c r="G140" s="12"/>
      <c r="H140" s="12"/>
      <c r="I140" s="1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>
      <c r="A141" s="4"/>
      <c r="B141" s="4"/>
      <c r="C141" s="4"/>
      <c r="D141" s="12"/>
      <c r="E141" s="12"/>
      <c r="G141" s="12"/>
      <c r="H141" s="12"/>
      <c r="I141" s="1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>
      <c r="A142" s="4"/>
      <c r="B142" s="4"/>
      <c r="C142" s="4"/>
      <c r="D142" s="12"/>
      <c r="E142" s="12"/>
      <c r="G142" s="12"/>
      <c r="H142" s="12"/>
      <c r="I142" s="1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>
      <c r="A143" s="4"/>
      <c r="B143" s="4"/>
      <c r="C143" s="4"/>
      <c r="D143" s="12"/>
      <c r="E143" s="12"/>
      <c r="G143" s="12"/>
      <c r="H143" s="12"/>
      <c r="I143" s="1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>
      <c r="A144" s="4"/>
      <c r="B144" s="4"/>
      <c r="C144" s="4"/>
      <c r="D144" s="12"/>
      <c r="E144" s="12"/>
      <c r="G144" s="12"/>
      <c r="H144" s="12"/>
      <c r="I144" s="1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>
      <c r="A145" s="4"/>
      <c r="B145" s="4"/>
      <c r="C145" s="4"/>
      <c r="D145" s="12"/>
      <c r="E145" s="12"/>
      <c r="G145" s="12"/>
      <c r="H145" s="12"/>
      <c r="I145" s="1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>
      <c r="A146" s="4"/>
      <c r="B146" s="4"/>
      <c r="C146" s="4"/>
      <c r="D146" s="12"/>
      <c r="E146" s="12"/>
      <c r="G146" s="12"/>
      <c r="H146" s="12"/>
      <c r="I146" s="1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>
      <c r="A147" s="4"/>
      <c r="B147" s="4"/>
      <c r="C147" s="4"/>
      <c r="D147" s="12"/>
      <c r="E147" s="12"/>
      <c r="G147" s="12"/>
      <c r="H147" s="12"/>
      <c r="I147" s="1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>
      <c r="A148" s="4"/>
      <c r="B148" s="4"/>
      <c r="C148" s="4"/>
      <c r="D148" s="12"/>
      <c r="E148" s="12"/>
      <c r="G148" s="12"/>
      <c r="H148" s="12"/>
      <c r="I148" s="1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>
      <c r="A149" s="4"/>
      <c r="B149" s="4"/>
      <c r="C149" s="4"/>
      <c r="D149" s="12"/>
      <c r="E149" s="12"/>
      <c r="G149" s="12"/>
      <c r="H149" s="12"/>
      <c r="I149" s="1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>
      <c r="A150" s="4"/>
      <c r="B150" s="4"/>
      <c r="C150" s="4"/>
      <c r="D150" s="12"/>
      <c r="E150" s="12"/>
      <c r="G150" s="12"/>
      <c r="H150" s="12"/>
      <c r="I150" s="1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>
      <c r="A151" s="4"/>
      <c r="B151" s="4"/>
      <c r="C151" s="4"/>
      <c r="D151" s="12"/>
      <c r="E151" s="12"/>
      <c r="G151" s="12"/>
      <c r="H151" s="12"/>
      <c r="I151" s="1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>
      <c r="A152" s="4"/>
      <c r="B152" s="4"/>
      <c r="C152" s="4"/>
      <c r="D152" s="12"/>
      <c r="E152" s="12"/>
      <c r="G152" s="12"/>
      <c r="H152" s="12"/>
      <c r="I152" s="1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>
      <c r="A153" s="4"/>
      <c r="B153" s="4"/>
      <c r="C153" s="4"/>
      <c r="D153" s="12"/>
      <c r="E153" s="12"/>
      <c r="G153" s="12"/>
      <c r="H153" s="12"/>
      <c r="I153" s="1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>
      <c r="A154" s="4"/>
      <c r="B154" s="4"/>
      <c r="C154" s="4"/>
      <c r="D154" s="12"/>
      <c r="E154" s="12"/>
      <c r="G154" s="12"/>
      <c r="H154" s="12"/>
      <c r="I154" s="1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>
      <c r="A155" s="4"/>
      <c r="B155" s="4"/>
      <c r="C155" s="4"/>
      <c r="D155" s="12"/>
      <c r="E155" s="12"/>
      <c r="G155" s="12"/>
      <c r="H155" s="12"/>
      <c r="I155" s="1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>
      <c r="A156" s="4"/>
      <c r="B156" s="4"/>
      <c r="C156" s="4"/>
      <c r="D156" s="12"/>
      <c r="E156" s="12"/>
      <c r="G156" s="12"/>
      <c r="H156" s="12"/>
      <c r="I156" s="1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>
      <c r="A157" s="4"/>
      <c r="B157" s="4"/>
      <c r="C157" s="4"/>
      <c r="D157" s="12"/>
      <c r="E157" s="12"/>
      <c r="G157" s="12"/>
      <c r="H157" s="12"/>
      <c r="I157" s="1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>
      <c r="A158" s="4"/>
      <c r="B158" s="4"/>
      <c r="C158" s="4"/>
      <c r="D158" s="12"/>
      <c r="E158" s="12"/>
      <c r="G158" s="12"/>
      <c r="H158" s="12"/>
      <c r="I158" s="1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>
      <c r="A159" s="4"/>
      <c r="B159" s="4"/>
      <c r="C159" s="4"/>
      <c r="D159" s="12"/>
      <c r="E159" s="12"/>
      <c r="G159" s="12"/>
      <c r="H159" s="12"/>
      <c r="I159" s="1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>
      <c r="A160" s="4"/>
      <c r="B160" s="4"/>
      <c r="C160" s="4"/>
      <c r="D160" s="12"/>
      <c r="E160" s="12"/>
      <c r="G160" s="12"/>
      <c r="H160" s="12"/>
      <c r="I160" s="1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>
      <c r="A161" s="4"/>
      <c r="B161" s="4"/>
      <c r="C161" s="4"/>
      <c r="D161" s="12"/>
      <c r="E161" s="12"/>
      <c r="G161" s="12"/>
      <c r="H161" s="12"/>
      <c r="I161" s="1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>
      <c r="A162" s="4"/>
      <c r="B162" s="4"/>
      <c r="C162" s="4"/>
      <c r="D162" s="12"/>
      <c r="E162" s="12"/>
      <c r="G162" s="12"/>
      <c r="H162" s="12"/>
      <c r="I162" s="1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>
      <c r="A163" s="4"/>
      <c r="B163" s="4"/>
      <c r="C163" s="4"/>
      <c r="D163" s="12"/>
      <c r="E163" s="12"/>
      <c r="G163" s="12"/>
      <c r="H163" s="12"/>
      <c r="I163" s="1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>
      <c r="A164" s="4"/>
      <c r="B164" s="4"/>
      <c r="C164" s="4"/>
      <c r="D164" s="12"/>
      <c r="E164" s="12"/>
      <c r="G164" s="12"/>
      <c r="H164" s="12"/>
      <c r="I164" s="1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>
      <c r="A165" s="4"/>
      <c r="B165" s="4"/>
      <c r="C165" s="4"/>
      <c r="D165" s="12"/>
      <c r="E165" s="12"/>
      <c r="G165" s="12"/>
      <c r="H165" s="12"/>
      <c r="I165" s="1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>
      <c r="A166" s="4"/>
      <c r="B166" s="4"/>
      <c r="C166" s="4"/>
      <c r="D166" s="12"/>
      <c r="E166" s="12"/>
      <c r="G166" s="12"/>
      <c r="H166" s="12"/>
      <c r="I166" s="1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>
      <c r="A167" s="4"/>
      <c r="B167" s="4"/>
      <c r="C167" s="4"/>
      <c r="D167" s="12"/>
      <c r="E167" s="12"/>
      <c r="G167" s="12"/>
      <c r="H167" s="12"/>
      <c r="I167" s="1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>
      <c r="A168" s="4"/>
      <c r="B168" s="4"/>
      <c r="C168" s="4"/>
      <c r="D168" s="12"/>
      <c r="E168" s="12"/>
      <c r="G168" s="12"/>
      <c r="H168" s="12"/>
      <c r="I168" s="1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>
      <c r="A169" s="4"/>
      <c r="B169" s="4"/>
      <c r="C169" s="4"/>
      <c r="D169" s="12"/>
      <c r="E169" s="12"/>
      <c r="G169" s="12"/>
      <c r="H169" s="12"/>
      <c r="I169" s="12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>
      <c r="A170" s="4"/>
      <c r="B170" s="4"/>
      <c r="C170" s="4"/>
      <c r="D170" s="12"/>
      <c r="E170" s="12"/>
      <c r="G170" s="12"/>
      <c r="H170" s="12"/>
      <c r="I170" s="1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>
      <c r="A171" s="4"/>
      <c r="B171" s="4"/>
      <c r="C171" s="4"/>
      <c r="D171" s="12"/>
      <c r="E171" s="12"/>
      <c r="G171" s="12"/>
      <c r="H171" s="12"/>
      <c r="I171" s="1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>
      <c r="A172" s="4"/>
      <c r="B172" s="4"/>
      <c r="C172" s="4"/>
      <c r="D172" s="12"/>
      <c r="E172" s="12"/>
      <c r="G172" s="12"/>
      <c r="H172" s="12"/>
      <c r="I172" s="1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>
      <c r="A173" s="4"/>
      <c r="B173" s="4"/>
      <c r="C173" s="4"/>
      <c r="D173" s="12"/>
      <c r="E173" s="12"/>
      <c r="G173" s="12"/>
      <c r="H173" s="12"/>
      <c r="I173" s="1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>
      <c r="A174" s="4"/>
      <c r="B174" s="4"/>
      <c r="C174" s="4"/>
      <c r="D174" s="12"/>
      <c r="E174" s="12"/>
      <c r="G174" s="12"/>
      <c r="H174" s="12"/>
      <c r="I174" s="1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>
      <c r="A175" s="4"/>
      <c r="B175" s="4"/>
      <c r="C175" s="4"/>
      <c r="D175" s="12"/>
      <c r="E175" s="12"/>
      <c r="G175" s="12"/>
      <c r="H175" s="12"/>
      <c r="I175" s="1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>
      <c r="A176" s="4"/>
      <c r="B176" s="4"/>
      <c r="C176" s="4"/>
      <c r="D176" s="12"/>
      <c r="E176" s="12"/>
      <c r="G176" s="12"/>
      <c r="H176" s="12"/>
      <c r="I176" s="1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>
      <c r="A177" s="4"/>
      <c r="B177" s="4"/>
      <c r="C177" s="4"/>
      <c r="D177" s="12"/>
      <c r="E177" s="12"/>
      <c r="G177" s="12"/>
      <c r="H177" s="12"/>
      <c r="I177" s="1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>
      <c r="A178" s="4"/>
      <c r="B178" s="4"/>
      <c r="C178" s="4"/>
      <c r="D178" s="12"/>
      <c r="E178" s="12"/>
      <c r="G178" s="12"/>
      <c r="H178" s="12"/>
      <c r="I178" s="1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>
      <c r="A179" s="4"/>
      <c r="B179" s="4"/>
      <c r="C179" s="4"/>
      <c r="D179" s="12"/>
      <c r="E179" s="12"/>
      <c r="G179" s="12"/>
      <c r="H179" s="12"/>
      <c r="I179" s="1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>
      <c r="A180" s="4"/>
      <c r="B180" s="4"/>
      <c r="C180" s="4"/>
      <c r="D180" s="12"/>
      <c r="E180" s="12"/>
      <c r="G180" s="12"/>
      <c r="H180" s="12"/>
      <c r="I180" s="1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</sheetData>
  <autoFilter ref="A3:Y6"/>
  <dataValidations count="4">
    <dataValidation type="list" allowBlank="1" showInputMessage="1" showErrorMessage="1" sqref="E7:E180">
      <formula1>"Anchor,Major Candidate,Minor Candidate,Pending Data"</formula1>
    </dataValidation>
    <dataValidation type="list" allowBlank="1" showInputMessage="1" showErrorMessage="1" sqref="D7:D180">
      <formula1>"Anchor,Push Out,No Change,Pending Data"</formula1>
    </dataValidation>
    <dataValidation allowBlank="1" showInputMessage="1" sqref="F7:F1048576"/>
    <dataValidation type="list" allowBlank="1" showInputMessage="1" showErrorMessage="1" sqref="G4:G180">
      <formula1>"Anchor,Push Out,Pull In,No Change,Pending Data"</formula1>
    </dataValidation>
  </dataValidations>
  <pageMargins left="0.75" right="0.75" top="1" bottom="1" header="0.5" footer="0.5"/>
  <pageSetup paperSize="3" orientation="landscape" horizontalDpi="4294967294" verticalDpi="144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Valid Release Name Required" error="Select a valid Release Name from the drop-down in the cell.  _x000a__x000a_NOTE: When Release Types are updated, the associated names also change.">
          <x14:formula1>
            <xm:f>'Release Cadence'!$B$4:$B$24</xm:f>
          </x14:formula1>
          <xm:sqref>H4:H178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3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A16" sqref="A16"/>
    </sheetView>
  </sheetViews>
  <sheetFormatPr defaultRowHeight="12.75"/>
  <cols>
    <col min="1" max="1" width="30.28515625" style="13" customWidth="1"/>
    <col min="2" max="2" width="17" style="14" bestFit="1" customWidth="1"/>
    <col min="3" max="3" width="21.28515625" style="14" bestFit="1" customWidth="1"/>
    <col min="4" max="4" width="14.5703125" style="13" bestFit="1" customWidth="1"/>
    <col min="5" max="5" width="15.7109375" style="13" bestFit="1" customWidth="1"/>
    <col min="6" max="6" width="17.85546875" style="13" bestFit="1" customWidth="1"/>
    <col min="7" max="7" width="17.5703125" style="13" bestFit="1" customWidth="1"/>
    <col min="8" max="8" width="15.140625" style="13" bestFit="1" customWidth="1"/>
    <col min="9" max="9" width="18.28515625" style="13" bestFit="1" customWidth="1"/>
    <col min="10" max="11" width="15.140625" style="13" bestFit="1" customWidth="1"/>
    <col min="12" max="15" width="14.28515625" style="78" customWidth="1"/>
    <col min="16" max="16" width="15.28515625" style="9" bestFit="1" customWidth="1"/>
    <col min="17" max="17" width="9.140625" style="9"/>
    <col min="18" max="18" width="22.42578125" style="9" bestFit="1" customWidth="1"/>
    <col min="19" max="19" width="25.28515625" style="9" customWidth="1"/>
    <col min="20" max="16384" width="9.140625" style="9"/>
  </cols>
  <sheetData>
    <row r="1" spans="1:20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10">
        <v>1</v>
      </c>
      <c r="M1" s="10">
        <v>1</v>
      </c>
      <c r="N1" s="10">
        <v>1</v>
      </c>
      <c r="O1" s="10">
        <v>1</v>
      </c>
      <c r="P1" s="64" t="s">
        <v>116</v>
      </c>
    </row>
    <row r="2" spans="1:20">
      <c r="A2" s="7"/>
      <c r="B2" s="8"/>
      <c r="C2" s="8"/>
      <c r="D2" s="8"/>
      <c r="E2" s="8"/>
      <c r="F2" s="7"/>
      <c r="G2" s="7"/>
      <c r="H2" s="7"/>
      <c r="I2" s="7"/>
      <c r="J2" s="7"/>
      <c r="K2" s="7"/>
      <c r="L2" s="75">
        <v>1000000</v>
      </c>
      <c r="M2" s="75">
        <v>30</v>
      </c>
      <c r="N2" s="75">
        <v>2</v>
      </c>
      <c r="O2" s="75">
        <v>1</v>
      </c>
      <c r="P2" s="63" t="s">
        <v>75</v>
      </c>
    </row>
    <row r="3" spans="1:20">
      <c r="A3" s="10"/>
      <c r="B3" s="11"/>
      <c r="C3" s="15" t="s">
        <v>41</v>
      </c>
      <c r="D3" s="18" t="s">
        <v>42</v>
      </c>
      <c r="E3" s="17" t="s">
        <v>43</v>
      </c>
      <c r="F3" s="40"/>
      <c r="G3" s="19" t="s">
        <v>44</v>
      </c>
      <c r="H3" s="19"/>
      <c r="I3" s="20" t="s">
        <v>45</v>
      </c>
      <c r="J3" s="21"/>
      <c r="K3" s="21"/>
      <c r="L3" s="75">
        <v>250000</v>
      </c>
      <c r="M3" s="75">
        <v>20</v>
      </c>
      <c r="N3" s="75">
        <v>1</v>
      </c>
      <c r="O3" s="75">
        <v>0</v>
      </c>
      <c r="P3" s="63" t="s">
        <v>76</v>
      </c>
    </row>
    <row r="4" spans="1:20" s="16" customFormat="1">
      <c r="A4" s="30" t="s">
        <v>3</v>
      </c>
      <c r="B4" s="30" t="s">
        <v>40</v>
      </c>
      <c r="C4" s="25" t="s">
        <v>53</v>
      </c>
      <c r="D4" s="27" t="s">
        <v>29</v>
      </c>
      <c r="E4" s="26" t="s">
        <v>30</v>
      </c>
      <c r="F4" s="26" t="s">
        <v>83</v>
      </c>
      <c r="G4" s="28" t="s">
        <v>31</v>
      </c>
      <c r="H4" s="28" t="s">
        <v>54</v>
      </c>
      <c r="I4" s="29" t="s">
        <v>32</v>
      </c>
      <c r="J4" s="29" t="s">
        <v>54</v>
      </c>
      <c r="K4" s="29" t="s">
        <v>5</v>
      </c>
      <c r="L4" s="30" t="s">
        <v>36</v>
      </c>
      <c r="M4" s="30" t="s">
        <v>60</v>
      </c>
      <c r="N4" s="30" t="s">
        <v>61</v>
      </c>
      <c r="O4" s="30" t="s">
        <v>5</v>
      </c>
      <c r="P4" s="30" t="s">
        <v>77</v>
      </c>
    </row>
    <row r="5" spans="1:20" ht="12.75" customHeight="1">
      <c r="A5" s="49" t="s">
        <v>0</v>
      </c>
      <c r="B5" s="59" t="str">
        <f>VLOOKUP($A5,'Planning Flow'!$A:$M,5,FALSE)</f>
        <v>08 - Oct/12</v>
      </c>
      <c r="C5" s="59" t="str">
        <f>VLOOKUP($A5,'Planning Flow'!$A:$M,6,FALSE)</f>
        <v>Anchor</v>
      </c>
      <c r="D5" s="59" t="str">
        <f>VLOOKUP($A5,'Planning Flow'!$A:$M,7,FALSE)</f>
        <v>On Track</v>
      </c>
      <c r="E5" s="59" t="str">
        <f>VLOOKUP($A5,'Planning Flow'!$A:$M,8,FALSE)</f>
        <v>Major Candidate</v>
      </c>
      <c r="F5" s="59" t="str">
        <f>VLOOKUP($A5,'Planning Flow'!$A:$M,9,FALSE)</f>
        <v>12 - Major - 02/13</v>
      </c>
      <c r="G5" s="59">
        <f>VLOOKUP($A5,'Planning Flow'!$A:$M,11,FALSE)</f>
        <v>0</v>
      </c>
      <c r="H5" s="59">
        <f>VLOOKUP($A5,'Planning Flow'!$A:$M,12,FALSE)</f>
        <v>0</v>
      </c>
      <c r="I5" s="12"/>
      <c r="J5" s="59" t="str">
        <f>VLOOKUP($A5,'Planning Flow'!$A:$M,9,FALSE)</f>
        <v>12 - Major - 02/13</v>
      </c>
      <c r="K5" s="12"/>
      <c r="L5" s="76">
        <v>946096.25183815567</v>
      </c>
      <c r="M5" s="77">
        <v>63.07308345587704</v>
      </c>
      <c r="N5" s="77">
        <v>1</v>
      </c>
      <c r="O5" s="77">
        <v>1</v>
      </c>
      <c r="P5" s="36">
        <f>(L$1*IF(ISBLANK(L5),3,IF(L5&gt;L$2,5,IF(L5&lt;=L$3,1,3)))+M$1*IF(ISBLANK(M5),3,IF(M5&gt;M$2,5,IF(M5&lt;=M$3,1,3)))+N$1*IF(ISBLANK(N5),3,IF(N5&gt;N$2,5,IF(N5&lt;=N$3,1,3)))+O$1*IF(ISBLANK(O5),3,IF(O5&gt;O$2,5,IF(O5&lt;=O$3,1,3))))</f>
        <v>12</v>
      </c>
    </row>
    <row r="6" spans="1:20" ht="15">
      <c r="A6" s="12" t="s">
        <v>1</v>
      </c>
      <c r="B6" s="59" t="str">
        <f>VLOOKUP($A6,'Planning Flow'!$A:$M,5,FALSE)</f>
        <v>05 - Jul/12</v>
      </c>
      <c r="C6" s="59" t="str">
        <f>VLOOKUP($A6,'Planning Flow'!$A:$M,6,FALSE)</f>
        <v>Anchor</v>
      </c>
      <c r="D6" s="59" t="str">
        <f>VLOOKUP($A6,'Planning Flow'!$A:$M,7,FALSE)</f>
        <v>On Track</v>
      </c>
      <c r="E6" s="59" t="str">
        <f>VLOOKUP($A6,'Planning Flow'!$A:$M,8,FALSE)</f>
        <v>Minor Candidate</v>
      </c>
      <c r="F6" s="59" t="str">
        <f>VLOOKUP($A6,'Planning Flow'!$A:$M,9,FALSE)</f>
        <v>09 - Major - 11/12</v>
      </c>
      <c r="G6" s="59">
        <f>VLOOKUP($A6,'Planning Flow'!$A:$M,11,FALSE)</f>
        <v>0</v>
      </c>
      <c r="H6" s="59">
        <f>VLOOKUP($A6,'Planning Flow'!$A:$M,12,FALSE)</f>
        <v>0</v>
      </c>
      <c r="I6" s="12"/>
      <c r="J6" s="59" t="str">
        <f>VLOOKUP($A6,'Planning Flow'!$A:$M,9,FALSE)</f>
        <v>09 - Major - 11/12</v>
      </c>
      <c r="K6" s="12"/>
      <c r="L6" s="76">
        <v>1293531.3029760609</v>
      </c>
      <c r="M6" s="77">
        <v>86.235420198404057</v>
      </c>
      <c r="N6" s="77">
        <v>1</v>
      </c>
      <c r="O6" s="77">
        <v>1</v>
      </c>
      <c r="P6" s="36">
        <f>(L$1*IF(ISBLANK(L6),3,IF(L6&gt;L$2,5,IF(L6&lt;=L$3,1,3)))+M$1*IF(ISBLANK(M6),3,IF(M6&gt;M$2,5,IF(M6&lt;=M$3,1,3)))+N$1*IF(ISBLANK(N6),3,IF(N6&gt;N$2,5,IF(N6&lt;=N$3,1,3)))+O$1*IF(ISBLANK(O6),3,IF(O6&gt;O$2,5,IF(O6&lt;=O$3,1,3))))</f>
        <v>14</v>
      </c>
      <c r="R6" s="34" t="s">
        <v>78</v>
      </c>
      <c r="S6" t="s">
        <v>80</v>
      </c>
      <c r="T6"/>
    </row>
    <row r="7" spans="1:20" ht="15">
      <c r="A7" s="50" t="s">
        <v>2</v>
      </c>
      <c r="B7" s="59" t="str">
        <f>VLOOKUP($A7,'Planning Flow'!$A:$M,5,FALSE)</f>
        <v>0 - TBD</v>
      </c>
      <c r="C7" s="59" t="str">
        <f>VLOOKUP($A7,'Planning Flow'!$A:$M,6,FALSE)</f>
        <v>Anchor</v>
      </c>
      <c r="D7" s="59" t="str">
        <f>VLOOKUP($A7,'Planning Flow'!$A:$M,7,FALSE)</f>
        <v>On Track</v>
      </c>
      <c r="E7" s="59" t="str">
        <f>VLOOKUP($A7,'Planning Flow'!$A:$M,8,FALSE)</f>
        <v>Minor Candidate</v>
      </c>
      <c r="F7" s="59" t="str">
        <f>VLOOKUP($A7,'Planning Flow'!$A:$M,9,FALSE)</f>
        <v>09 - Major - 11/12</v>
      </c>
      <c r="G7" s="59">
        <f>VLOOKUP($A7,'Planning Flow'!$A:$M,11,FALSE)</f>
        <v>0</v>
      </c>
      <c r="H7" s="59">
        <f>VLOOKUP($A7,'Planning Flow'!$A:$M,12,FALSE)</f>
        <v>0</v>
      </c>
      <c r="I7" s="12"/>
      <c r="J7" s="59" t="str">
        <f>VLOOKUP($A7,'Planning Flow'!$A:$M,9,FALSE)</f>
        <v>09 - Major - 11/12</v>
      </c>
      <c r="K7" s="12"/>
      <c r="L7" s="76">
        <v>0</v>
      </c>
      <c r="M7" s="77">
        <v>0</v>
      </c>
      <c r="N7" s="77">
        <v>0</v>
      </c>
      <c r="O7" s="76"/>
      <c r="P7" s="36">
        <f t="shared" ref="P7" si="0">(L$1*IF(ISBLANK(L7),3,IF(L7&gt;L$2,5,IF(L7&lt;=L$3,1,3)))+M$1*IF(ISBLANK(M7),3,IF(M7&gt;M$2,5,IF(M7&lt;=M$3,1,3)))+N$1*IF(ISBLANK(N7),3,IF(N7&gt;N$2,5,IF(N7&lt;=N$3,1,3)))+O$1*IF(ISBLANK(O7),3,IF(O7&gt;O$2,5,IF(O7&lt;=O$3,1,3))))</f>
        <v>6</v>
      </c>
      <c r="R7" s="6" t="s">
        <v>115</v>
      </c>
      <c r="S7" s="35">
        <v>20</v>
      </c>
      <c r="T7"/>
    </row>
    <row r="8" spans="1:20" ht="15">
      <c r="A8" s="74" t="s">
        <v>125</v>
      </c>
      <c r="B8" s="59"/>
      <c r="C8" s="59"/>
      <c r="D8" s="59"/>
      <c r="E8" s="59"/>
      <c r="F8" s="59"/>
      <c r="G8" s="59"/>
      <c r="H8" s="59"/>
      <c r="I8" s="12"/>
      <c r="J8" s="59"/>
      <c r="K8" s="12"/>
      <c r="L8" s="76"/>
      <c r="M8" s="77"/>
      <c r="N8" s="77"/>
      <c r="O8" s="76"/>
      <c r="P8" s="36"/>
      <c r="R8" s="6" t="s">
        <v>84</v>
      </c>
      <c r="S8" s="35">
        <v>12</v>
      </c>
      <c r="T8"/>
    </row>
    <row r="9" spans="1:20" ht="15">
      <c r="A9" s="50"/>
      <c r="B9" s="59"/>
      <c r="C9" s="59"/>
      <c r="D9" s="59"/>
      <c r="E9" s="59"/>
      <c r="F9" s="59"/>
      <c r="G9" s="59"/>
      <c r="H9" s="59"/>
      <c r="I9" s="12"/>
      <c r="J9" s="59"/>
      <c r="K9" s="12"/>
      <c r="L9" s="76"/>
      <c r="M9" s="77"/>
      <c r="N9" s="77"/>
      <c r="O9" s="76"/>
      <c r="P9" s="36"/>
      <c r="R9" s="6" t="s">
        <v>127</v>
      </c>
      <c r="S9" s="35"/>
      <c r="T9"/>
    </row>
    <row r="10" spans="1:20" ht="15">
      <c r="A10" s="4" t="s">
        <v>126</v>
      </c>
      <c r="B10" s="4" t="s">
        <v>127</v>
      </c>
      <c r="C10" s="4"/>
      <c r="D10" s="12"/>
      <c r="E10" s="12"/>
      <c r="F10" s="4" t="s">
        <v>127</v>
      </c>
      <c r="G10" s="12"/>
      <c r="H10" s="4" t="s">
        <v>127</v>
      </c>
      <c r="I10" s="12"/>
      <c r="J10" s="4" t="s">
        <v>127</v>
      </c>
      <c r="K10" s="4"/>
      <c r="L10" s="76"/>
      <c r="M10" s="77"/>
      <c r="N10" s="77"/>
      <c r="O10" s="77"/>
      <c r="P10" s="36"/>
      <c r="R10" s="6" t="s">
        <v>128</v>
      </c>
      <c r="S10" s="35"/>
      <c r="T10"/>
    </row>
    <row r="11" spans="1:20" ht="15">
      <c r="A11" s="74" t="s">
        <v>129</v>
      </c>
      <c r="B11" s="59"/>
      <c r="C11" s="59"/>
      <c r="D11" s="59"/>
      <c r="E11" s="59"/>
      <c r="F11" s="59"/>
      <c r="G11" s="59"/>
      <c r="H11" s="59"/>
      <c r="I11" s="12"/>
      <c r="J11" s="12"/>
      <c r="K11" s="4"/>
      <c r="L11" s="76"/>
      <c r="M11" s="77"/>
      <c r="N11" s="77"/>
      <c r="O11" s="77"/>
      <c r="P11" s="36"/>
      <c r="R11" s="6" t="s">
        <v>79</v>
      </c>
      <c r="S11" s="35">
        <v>32</v>
      </c>
      <c r="T11"/>
    </row>
    <row r="12" spans="1:20" ht="15">
      <c r="R12"/>
      <c r="S12"/>
      <c r="T12"/>
    </row>
    <row r="13" spans="1:20" ht="15">
      <c r="R13"/>
      <c r="S13"/>
      <c r="T13"/>
    </row>
    <row r="14" spans="1:20" ht="15">
      <c r="R14"/>
      <c r="S14"/>
      <c r="T14"/>
    </row>
    <row r="15" spans="1:20" ht="15">
      <c r="R15"/>
      <c r="S15"/>
      <c r="T15"/>
    </row>
    <row r="16" spans="1:20" ht="15">
      <c r="R16"/>
      <c r="S16"/>
      <c r="T16"/>
    </row>
    <row r="17" spans="18:20" ht="15">
      <c r="R17"/>
      <c r="S17"/>
      <c r="T17"/>
    </row>
    <row r="18" spans="18:20" ht="15">
      <c r="R18"/>
      <c r="S18"/>
      <c r="T18"/>
    </row>
    <row r="19" spans="18:20" ht="15">
      <c r="R19"/>
      <c r="S19"/>
      <c r="T19"/>
    </row>
    <row r="20" spans="18:20" ht="15">
      <c r="R20"/>
      <c r="S20"/>
      <c r="T20"/>
    </row>
    <row r="21" spans="18:20" ht="15">
      <c r="R21"/>
      <c r="S21"/>
      <c r="T21"/>
    </row>
    <row r="22" spans="18:20" ht="15">
      <c r="R22"/>
      <c r="S22"/>
      <c r="T22"/>
    </row>
    <row r="23" spans="18:20" ht="15">
      <c r="R23"/>
      <c r="S23"/>
      <c r="T23"/>
    </row>
  </sheetData>
  <autoFilter ref="A4:P11"/>
  <dataValidations count="4">
    <dataValidation type="list" allowBlank="1" showInputMessage="1" showErrorMessage="1" sqref="E10">
      <formula1>"Anchor,Major Candidate,Minor Candidate,Pending Data"</formula1>
    </dataValidation>
    <dataValidation type="list" allowBlank="1" showInputMessage="1" showErrorMessage="1" sqref="D10">
      <formula1>"Anchor,Push Out,No Change,Pending Data"</formula1>
    </dataValidation>
    <dataValidation type="list" allowBlank="1" showInputMessage="1" showErrorMessage="1" sqref="I10 G10">
      <formula1>"Anchor,Push Out,Pull In,No Change,Pending Data"</formula1>
    </dataValidation>
    <dataValidation allowBlank="1" showInputMessage="1" sqref="F12:F1048576"/>
  </dataValidations>
  <pageMargins left="0.75" right="0.75" top="1" bottom="1" header="0.5" footer="0.5"/>
  <pageSetup paperSize="3" orientation="landscape" horizontalDpi="4294967294" verticalDpi="144" r:id="rId2"/>
  <headerFooter alignWithMargins="0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Planning Flow</vt:lpstr>
      <vt:lpstr>Release Cadence</vt:lpstr>
      <vt:lpstr>Data Staging_Systems</vt:lpstr>
      <vt:lpstr>Data Staging_Resources</vt:lpstr>
      <vt:lpstr>Data Staging_Risk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2012-11-21T06:35:37Z</dcterms:created>
  <dcterms:modified xsi:type="dcterms:W3CDTF">2012-11-21T06:35:40Z</dcterms:modified>
</cp:coreProperties>
</file>